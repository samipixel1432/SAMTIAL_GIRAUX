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35b74fad0b49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ete internet" sheetId="1" r:id="R8c586076106c4675"/>
    <x:sheet xmlns:r="http://schemas.openxmlformats.org/officeDocument/2006/relationships" name="Hombre" sheetId="2" r:id="Rce3ec94c0a7646c0"/>
    <x:sheet xmlns:r="http://schemas.openxmlformats.org/officeDocument/2006/relationships" name="Dama" sheetId="3" r:id="R3e3b9761d7174a9e"/>
    <x:sheet xmlns:r="http://schemas.openxmlformats.org/officeDocument/2006/relationships" name="Nino" sheetId="4" r:id="R55ee2e303d0f467b"/>
    <x:sheet xmlns:r="http://schemas.openxmlformats.org/officeDocument/2006/relationships" name="Guia colores" sheetId="5" r:id="R18676370381c4653"/>
    <x:sheet xmlns:r="http://schemas.openxmlformats.org/officeDocument/2006/relationships" name="Resumen" sheetId="6" r:id="Rbd6d989c852b46fe"/>
    <x:sheet xmlns:r="http://schemas.openxmlformats.org/officeDocument/2006/relationships" name="Fuentes" sheetId="7" r:id="R55d7862aaa44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i/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21453f2f94969" /><Relationship Type="http://schemas.openxmlformats.org/officeDocument/2006/relationships/theme" Target="/xl/theme/theme1.xml" Id="R0cab78d3f16f4557" /><Relationship Type="http://schemas.openxmlformats.org/officeDocument/2006/relationships/sharedStrings" Target="/xl/sharedStrings.xml" Id="R8cd5251ab2ce42cf" /><Relationship Type="http://schemas.openxmlformats.org/officeDocument/2006/relationships/worksheet" Target="/xl/worksheets/sheet1.xml" Id="R8c586076106c4675" /><Relationship Type="http://schemas.openxmlformats.org/officeDocument/2006/relationships/worksheet" Target="/xl/worksheets/sheet2.xml" Id="Rce3ec94c0a7646c0" /><Relationship Type="http://schemas.openxmlformats.org/officeDocument/2006/relationships/worksheet" Target="/xl/worksheets/sheet3.xml" Id="R3e3b9761d7174a9e" /><Relationship Type="http://schemas.openxmlformats.org/officeDocument/2006/relationships/worksheet" Target="/xl/worksheets/sheet4.xml" Id="R55ee2e303d0f467b" /><Relationship Type="http://schemas.openxmlformats.org/officeDocument/2006/relationships/worksheet" Target="/xl/worksheets/sheet5.xml" Id="R18676370381c4653" /><Relationship Type="http://schemas.openxmlformats.org/officeDocument/2006/relationships/worksheet" Target="/xl/worksheets/sheet6.xml" Id="Rbd6d989c852b46fe" /><Relationship Type="http://schemas.openxmlformats.org/officeDocument/2006/relationships/worksheet" Target="/xl/worksheets/sheet7.xml" Id="R55d7862aaa44481b" /></Relationships>
</file>

<file path=xl/tables/table1.xml><?xml version="1.0" encoding="utf-8"?>
<x:table xmlns:x="http://schemas.openxmlformats.org/spreadsheetml/2006/main" id="1" name="MacheteInternet" displayName="MacheteInternet" ref="A5:J220" headerRowCount="1">
  <x:autoFilter ref="A5:J220"/>
  <x:tableColumns count="10">
    <x:tableColumn id="1" name="Prioridad"/>
    <x:tableColumn id="2" name="Cliente"/>
    <x:tableColumn id="3" name="Segmento"/>
    <x:tableColumn id="4" name="Marca"/>
    <x:tableColumn id="5" name="Referencia / modelo"/>
    <x:tableColumn id="6" name="Colores recomendados"/>
    <x:tableColumn id="7" name="Talla objetivo"/>
    <x:tableColumn id="8" name="Por que pedirla"/>
    <x:tableColumn id="9" name="Fuente tendencia"/>
    <x:tableColumn id="10" name="Busqueda oficial"/>
  </x:tableColumns>
  <x:tableStyleInfo name="TableStyleMedium2" showRowStripes="1"/>
</x:table>
</file>

<file path=xl/tables/table2.xml><?xml version="1.0" encoding="utf-8"?>
<x:table xmlns:x="http://schemas.openxmlformats.org/spreadsheetml/2006/main" id="2" name="TablaHombre" displayName="TablaHombre" ref="A5:I120" headerRowCount="1">
  <x:autoFilter ref="A5:I120"/>
  <x:tableColumns count="9">
    <x:tableColumn id="1" name="Prioridad"/>
    <x:tableColumn id="2" name="Segmento"/>
    <x:tableColumn id="3" name="Marca"/>
    <x:tableColumn id="4" name="Referencia / modelo"/>
    <x:tableColumn id="5" name="Colores recomendados"/>
    <x:tableColumn id="6" name="Talla objetivo"/>
    <x:tableColumn id="7" name="Por que pedirla"/>
    <x:tableColumn id="8" name="Fuente tendencia"/>
    <x:tableColumn id="9" name="Busqueda oficial"/>
  </x:tableColumns>
  <x:tableStyleInfo name="TableStyleMedium2" showRowStripes="1"/>
</x:table>
</file>

<file path=xl/tables/table3.xml><?xml version="1.0" encoding="utf-8"?>
<x:table xmlns:x="http://schemas.openxmlformats.org/spreadsheetml/2006/main" id="3" name="TablaDama" displayName="TablaDama" ref="A5:I53" headerRowCount="1">
  <x:autoFilter ref="A5:I53"/>
  <x:tableColumns count="9">
    <x:tableColumn id="1" name="Prioridad"/>
    <x:tableColumn id="2" name="Segmento"/>
    <x:tableColumn id="3" name="Marca"/>
    <x:tableColumn id="4" name="Referencia / modelo"/>
    <x:tableColumn id="5" name="Colores recomendados"/>
    <x:tableColumn id="6" name="Talla objetivo"/>
    <x:tableColumn id="7" name="Por que pedirla"/>
    <x:tableColumn id="8" name="Fuente tendencia"/>
    <x:tableColumn id="9" name="Busqueda oficial"/>
  </x:tableColumns>
  <x:tableStyleInfo name="TableStyleMedium2" showRowStripes="1"/>
</x:table>
</file>

<file path=xl/tables/table4.xml><?xml version="1.0" encoding="utf-8"?>
<x:table xmlns:x="http://schemas.openxmlformats.org/spreadsheetml/2006/main" id="4" name="TablaNino" displayName="TablaNino" ref="A5:I57" headerRowCount="1">
  <x:autoFilter ref="A5:I57"/>
  <x:tableColumns count="9">
    <x:tableColumn id="1" name="Prioridad"/>
    <x:tableColumn id="2" name="Segmento"/>
    <x:tableColumn id="3" name="Marca"/>
    <x:tableColumn id="4" name="Referencia / modelo"/>
    <x:tableColumn id="5" name="Colores recomendados"/>
    <x:tableColumn id="6" name="Talla objetivo"/>
    <x:tableColumn id="7" name="Por que pedirla"/>
    <x:tableColumn id="8" name="Fuente tendencia"/>
    <x:tableColumn id="9" name="Busqueda oficial"/>
  </x:tableColumns>
  <x:tableStyleInfo name="TableStyleMedium2" showRowStripes="1"/>
</x:table>
</file>

<file path=xl/tables/table5.xml><?xml version="1.0" encoding="utf-8"?>
<x:table xmlns:x="http://schemas.openxmlformats.org/spreadsheetml/2006/main" id="5" name="GuiaColoresInternet" displayName="GuiaColoresInternet" ref="A5:D12" headerRowCount="1">
  <x:autoFilter ref="A5:D12"/>
  <x:tableColumns count="4">
    <x:tableColumn id="1" name="Bloque"/>
    <x:tableColumn id="2" name="Colores"/>
    <x:tableColumn id="3" name="Usar en"/>
    <x:tableColumn id="4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FuentesInternet" displayName="FuentesInternet" ref="A5:B15" headerRowCount="1">
  <x:autoFilter ref="A5:B15"/>
  <x:tableColumns count="2">
    <x:tableColumn id="1" name="Fuent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e5df7240d144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362047a9e047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a37fbd7db14f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2f238878874e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30738861614c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447cc15ab447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9.380000114440918" hidden="0" customWidth="1"/>
    <x:col min="3" max="3" width="22.5" hidden="0" customWidth="1"/>
    <x:col min="4" max="4" width="11.880000114440918" hidden="0" customWidth="1"/>
    <x:col min="5" max="5" width="27.5" hidden="0" customWidth="1"/>
    <x:col min="6" max="6" width="45" hidden="0" customWidth="1"/>
    <x:col min="7" max="7" width="23.75" hidden="0" customWidth="1"/>
    <x:col min="8" max="8" width="37.5" hidden="0" customWidth="1"/>
    <x:col min="9" max="9" width="37.5" hidden="0" customWidth="1"/>
    <x:col min="10" max="10" width="37.5" hidden="0" customWidth="1"/>
  </x:cols>
  <x:sheetData>
    <x:row r="1">
      <x:c r="A1" s="16" t="str">
        <x:v>Machete internet para pedido grande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>
      <x:c r="A2" s="18" t="str">
        <x:v>Referencias actuales para hombre, dama y nino. Sin cantidades.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  <x:c r="J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  <x:c r="J4" s="17"/>
    </x:row>
    <x:row r="5">
      <x:c r="A5" s="19" t="str">
        <x:v>Prioridad</x:v>
      </x:c>
      <x:c r="B5" s="19" t="str">
        <x:v>Cliente</x:v>
      </x:c>
      <x:c r="C5" s="19" t="str">
        <x:v>Segmento</x:v>
      </x:c>
      <x:c r="D5" s="19" t="str">
        <x:v>Marca</x:v>
      </x:c>
      <x:c r="E5" s="19" t="str">
        <x:v>Referencia / modelo</x:v>
      </x:c>
      <x:c r="F5" s="19" t="str">
        <x:v>Colores recomendados</x:v>
      </x:c>
      <x:c r="G5" s="19" t="str">
        <x:v>Talla objetivo</x:v>
      </x:c>
      <x:c r="H5" s="19" t="str">
        <x:v>Por que pedirla</x:v>
      </x:c>
      <x:c r="I5" s="19" t="str">
        <x:v>Fuente tendencia</x:v>
      </x:c>
      <x:c r="J5" s="19" t="str">
        <x:v>Busqueda oficial</x:v>
      </x:c>
    </x:row>
    <x:row r="6" ht="43.5" customHeight="1">
      <x:c r="A6" s="20" t="str">
        <x:v>Alta</x:v>
      </x:c>
      <x:c r="B6" s="20" t="str">
        <x:v>Hombre</x:v>
      </x:c>
      <x:c r="C6" s="20" t="str">
        <x:v>Retro Nike/Jordan</x:v>
      </x:c>
      <x:c r="D6" s="20" t="str">
        <x:v>Jordan</x:v>
      </x:c>
      <x:c r="E6" s="20" t="str">
        <x:v>Air Jordan 4 Retro</x:v>
      </x:c>
      <x:c r="F6" s="20" t="str">
        <x:v>White Cement, Military Blue, Bred, Thunder, Olive, Black Cat, Sail</x:v>
      </x:c>
      <x:c r="G6" s="20" t="str">
        <x:v>Hombre 39-44 / surtir 40-43</x:v>
      </x:c>
      <x:c r="H6" s="20" t="str">
        <x:v>Retro con rotacion fuerte; sirve para diciembre y regalo.</x:v>
      </x:c>
      <x:c r="I6" s="20" t="str">
        <x:v>https://stockx.com/about/sx-market-insights/big-facts-current-culture-index-2026/</x:v>
      </x:c>
      <x:c r="J6" s="20" t="str">
        <x:v>https://www.nike.com/w?q=Jordan%20Air%20Jordan%204%20Retro</x:v>
      </x:c>
    </x:row>
    <x:row r="7" ht="43.5" customHeight="1">
      <x:c r="A7" s="21" t="str">
        <x:v>Alta</x:v>
      </x:c>
      <x:c r="B7" s="21" t="str">
        <x:v>Hombre</x:v>
      </x:c>
      <x:c r="C7" s="21" t="str">
        <x:v>Retro Nike/Jordan</x:v>
      </x:c>
      <x:c r="D7" s="21" t="str">
        <x:v>Jordan</x:v>
      </x:c>
      <x:c r="E7" s="21" t="str">
        <x:v>Air Jordan 3 Retro</x:v>
      </x:c>
      <x:c r="F7" s="21" t="str">
        <x:v>White Cement, Black Cement, True Blue, Fire Red, Mocha, Craft Ivory</x:v>
      </x:c>
      <x:c r="G7" s="21" t="str">
        <x:v>Hombre 39-44 / surtir 40-43</x:v>
      </x:c>
      <x:c r="H7" s="21" t="str">
        <x:v>Retro con rotacion fuerte; sirve para diciembre y regalo.</x:v>
      </x:c>
      <x:c r="I7" s="21" t="str">
        <x:v>https://stockx.com/about/sx-market-insights/big-facts-current-culture-index-2026/</x:v>
      </x:c>
      <x:c r="J7" s="21" t="str">
        <x:v>https://www.nike.com/w?q=Jordan%20Air%20Jordan%203%20Retro</x:v>
      </x:c>
    </x:row>
    <x:row r="8" ht="43.5" customHeight="1">
      <x:c r="A8" s="21" t="str">
        <x:v>Alta</x:v>
      </x:c>
      <x:c r="B8" s="21" t="str">
        <x:v>Hombre</x:v>
      </x:c>
      <x:c r="C8" s="21" t="str">
        <x:v>Retro Nike/Jordan</x:v>
      </x:c>
      <x:c r="D8" s="21" t="str">
        <x:v>Jordan</x:v>
      </x:c>
      <x:c r="E8" s="21" t="str">
        <x:v>Air Jordan 1 Low OG</x:v>
      </x:c>
      <x:c r="F8" s="21" t="str">
        <x:v>Black Toe, Shadow, Chicago, Neutral Grey, Mocha, University Blue</x:v>
      </x:c>
      <x:c r="G8" s="21" t="str">
        <x:v>Hombre 39-44 / surtir 40-43</x:v>
      </x:c>
      <x:c r="H8" s="21" t="str">
        <x:v>Retro con rotacion fuerte; sirve para diciembre y regalo.</x:v>
      </x:c>
      <x:c r="I8" s="21" t="str">
        <x:v>https://stockx.com/about/sx-market-insights/big-facts-current-culture-index-2026/</x:v>
      </x:c>
      <x:c r="J8" s="21" t="str">
        <x:v>https://www.nike.com/w?q=Jordan%20Air%20Jordan%201%20Low%20OG</x:v>
      </x:c>
    </x:row>
    <x:row r="9" ht="43.5" customHeight="1">
      <x:c r="A9" s="21" t="str">
        <x:v>Media</x:v>
      </x:c>
      <x:c r="B9" s="21" t="str">
        <x:v>Hombre</x:v>
      </x:c>
      <x:c r="C9" s="21" t="str">
        <x:v>Retro Nike/Jordan</x:v>
      </x:c>
      <x:c r="D9" s="21" t="str">
        <x:v>Jordan</x:v>
      </x:c>
      <x:c r="E9" s="21" t="str">
        <x:v>Air Jordan 1 High OG</x:v>
      </x:c>
      <x:c r="F9" s="21" t="str">
        <x:v>Chicago, Bred, Royal, Shadow, Palomino, University Blue</x:v>
      </x:c>
      <x:c r="G9" s="21" t="str">
        <x:v>Hombre 39-44 / surtir 40-43</x:v>
      </x:c>
      <x:c r="H9" s="21" t="str">
        <x:v>Retro con rotacion fuerte; sirve para diciembre y regalo.</x:v>
      </x:c>
      <x:c r="I9" s="21" t="str">
        <x:v>https://stockx.com/about/sx-market-insights/big-facts-current-culture-index-2026/</x:v>
      </x:c>
      <x:c r="J9" s="21" t="str">
        <x:v>https://www.nike.com/w?q=Jordan%20Air%20Jordan%201%20High%20OG</x:v>
      </x:c>
    </x:row>
    <x:row r="10" ht="43.5" customHeight="1">
      <x:c r="A10" s="21" t="str">
        <x:v>Alta</x:v>
      </x:c>
      <x:c r="B10" s="21" t="str">
        <x:v>Hombre</x:v>
      </x:c>
      <x:c r="C10" s="21" t="str">
        <x:v>Retro Nike/Jordan</x:v>
      </x:c>
      <x:c r="D10" s="21" t="str">
        <x:v>Jordan</x:v>
      </x:c>
      <x:c r="E10" s="21" t="str">
        <x:v>Air Jordan 5 Retro</x:v>
      </x:c>
      <x:c r="F10" s="21" t="str">
        <x:v>Wolf Grey, Grape, Black Metallic, Fire Red, Olive, Burgundy</x:v>
      </x:c>
      <x:c r="G10" s="21" t="str">
        <x:v>Hombre 39-44 / surtir 40-43</x:v>
      </x:c>
      <x:c r="H10" s="21" t="str">
        <x:v>Retro con rotacion fuerte; sirve para diciembre y regalo.</x:v>
      </x:c>
      <x:c r="I10" s="21" t="str">
        <x:v>https://stockx.com/about/sx-market-insights/big-facts-current-culture-index-2026/</x:v>
      </x:c>
      <x:c r="J10" s="21" t="str">
        <x:v>https://www.nike.com/w?q=Jordan%20Air%20Jordan%205%20Retro</x:v>
      </x:c>
    </x:row>
    <x:row r="11" ht="43.5" customHeight="1">
      <x:c r="A11" s="21" t="str">
        <x:v>Alta</x:v>
      </x:c>
      <x:c r="B11" s="21" t="str">
        <x:v>Hombre</x:v>
      </x:c>
      <x:c r="C11" s="21" t="str">
        <x:v>Retro Nike/Jordan</x:v>
      </x:c>
      <x:c r="D11" s="21" t="str">
        <x:v>Jordan</x:v>
      </x:c>
      <x:c r="E11" s="21" t="str">
        <x:v>Air Jordan 11 Retro / Low</x:v>
      </x:c>
      <x:c r="F11" s="21" t="str">
        <x:v>Concord, Bred, Cool Grey, Space Jam, Cherry, Legend Blue</x:v>
      </x:c>
      <x:c r="G11" s="21" t="str">
        <x:v>Hombre 39-44 / surtir 40-43</x:v>
      </x:c>
      <x:c r="H11" s="21" t="str">
        <x:v>Retro con rotacion fuerte; sirve para diciembre y regalo.</x:v>
      </x:c>
      <x:c r="I11" s="21" t="str">
        <x:v>https://stockx.com/about/sx-market-insights/big-facts-current-culture-index-2026/</x:v>
      </x:c>
      <x:c r="J11" s="21" t="str">
        <x:v>https://www.nike.com/w?q=Jordan%20Air%20Jordan%2011%20Retro%20%2F%20Low</x:v>
      </x:c>
    </x:row>
    <x:row r="12" ht="43.5" customHeight="1">
      <x:c r="A12" s="21" t="str">
        <x:v>Media</x:v>
      </x:c>
      <x:c r="B12" s="21" t="str">
        <x:v>Hombre</x:v>
      </x:c>
      <x:c r="C12" s="21" t="str">
        <x:v>Retro Nike/Jordan</x:v>
      </x:c>
      <x:c r="D12" s="21" t="str">
        <x:v>Jordan</x:v>
      </x:c>
      <x:c r="E12" s="21" t="str">
        <x:v>Jordan Spizike Low</x:v>
      </x:c>
      <x:c r="F12" s="21" t="str">
        <x:v>Black/Red, White/Cement, University Blue, Olive, Sail</x:v>
      </x:c>
      <x:c r="G12" s="21" t="str">
        <x:v>Hombre 39-44 / surtir 40-43</x:v>
      </x:c>
      <x:c r="H12" s="21" t="str">
        <x:v>Retro con rotacion fuerte; sirve para diciembre y regalo.</x:v>
      </x:c>
      <x:c r="I12" s="21" t="str">
        <x:v>https://stockx.com/about/sx-market-insights/big-facts-current-culture-index-2026/</x:v>
      </x:c>
      <x:c r="J12" s="21" t="str">
        <x:v>https://www.nike.com/w?q=Jordan%20Jordan%20Spizike%20Low</x:v>
      </x:c>
    </x:row>
    <x:row r="13" ht="43.5" customHeight="1">
      <x:c r="A13" s="21" t="str">
        <x:v>Media</x:v>
      </x:c>
      <x:c r="B13" s="21" t="str">
        <x:v>Hombre</x:v>
      </x:c>
      <x:c r="C13" s="21" t="str">
        <x:v>Retro Nike/Jordan</x:v>
      </x:c>
      <x:c r="D13" s="21" t="str">
        <x:v>Jordan</x:v>
      </x:c>
      <x:c r="E13" s="21" t="str">
        <x:v>Jordan Jumpman Jack / Travis line</x:v>
      </x:c>
      <x:c r="F13" s="21" t="str">
        <x:v>Sail, Mocha, University Red, Black/White</x:v>
      </x:c>
      <x:c r="G13" s="21" t="str">
        <x:v>Hombre 39-44 / surtir 40-43</x:v>
      </x:c>
      <x:c r="H13" s="21" t="str">
        <x:v>Retro con rotacion fuerte; sirve para diciembre y regalo.</x:v>
      </x:c>
      <x:c r="I13" s="21" t="str">
        <x:v>https://stockx.com/about/sx-market-insights/big-facts-current-culture-index-2026/</x:v>
      </x:c>
      <x:c r="J13" s="21" t="str">
        <x:v>https://www.nike.com/w?q=Jordan%20Jordan%20Jumpman%20Jack%20%2F%20Travis%20line</x:v>
      </x:c>
    </x:row>
    <x:row r="14" ht="43.5" customHeight="1">
      <x:c r="A14" s="21" t="str">
        <x:v>Media</x:v>
      </x:c>
      <x:c r="B14" s="21" t="str">
        <x:v>Hombre</x:v>
      </x:c>
      <x:c r="C14" s="21" t="str">
        <x:v>Retro Nike/Jordan</x:v>
      </x:c>
      <x:c r="D14" s="21" t="str">
        <x:v>Jordan</x:v>
      </x:c>
      <x:c r="E14" s="21" t="str">
        <x:v>Jordan Tatum 3/4</x:v>
      </x:c>
      <x:c r="F14" s="21" t="str">
        <x:v>White/Black, Pink Lemonade, Blue Void, Red/Black</x:v>
      </x:c>
      <x:c r="G14" s="21" t="str">
        <x:v>Hombre 39-44 / surtir 40-43</x:v>
      </x:c>
      <x:c r="H14" s="21" t="str">
        <x:v>Retro con rotacion fuerte; sirve para diciembre y regalo.</x:v>
      </x:c>
      <x:c r="I14" s="21" t="str">
        <x:v>https://stockx.com/about/sx-market-insights/big-facts-current-culture-index-2026/</x:v>
      </x:c>
      <x:c r="J14" s="21" t="str">
        <x:v>https://www.nike.com/w?q=Jordan%20Jordan%20Tatum%203%2F4</x:v>
      </x:c>
    </x:row>
    <x:row r="15" ht="43.5" customHeight="1">
      <x:c r="A15" s="21" t="str">
        <x:v>Media</x:v>
      </x:c>
      <x:c r="B15" s="21" t="str">
        <x:v>Hombre</x:v>
      </x:c>
      <x:c r="C15" s="21" t="str">
        <x:v>Retro Nike/Jordan</x:v>
      </x:c>
      <x:c r="D15" s="21" t="str">
        <x:v>Jordan</x:v>
      </x:c>
      <x:c r="E15" s="21" t="str">
        <x:v>Jordan Luka 3/4</x:v>
      </x:c>
      <x:c r="F15" s="21" t="str">
        <x:v>White/Black, Teal/Pink, Blue/White, Red/Black</x:v>
      </x:c>
      <x:c r="G15" s="21" t="str">
        <x:v>Hombre 39-44 / surtir 40-43</x:v>
      </x:c>
      <x:c r="H15" s="21" t="str">
        <x:v>Retro con rotacion fuerte; sirve para diciembre y regalo.</x:v>
      </x:c>
      <x:c r="I15" s="21" t="str">
        <x:v>https://stockx.com/about/sx-market-insights/big-facts-current-culture-index-2026/</x:v>
      </x:c>
      <x:c r="J15" s="21" t="str">
        <x:v>https://www.nike.com/w?q=Jordan%20Jordan%20Luka%203%2F4</x:v>
      </x:c>
    </x:row>
    <x:row r="16" ht="43.5" customHeight="1">
      <x:c r="A16" s="21" t="str">
        <x:v>Alta</x:v>
      </x:c>
      <x:c r="B16" s="21" t="str">
        <x:v>Hombre</x:v>
      </x:c>
      <x:c r="C16" s="21" t="str">
        <x:v>Nike lifestyle / runner</x:v>
      </x:c>
      <x:c r="D16" s="21" t="str">
        <x:v>Nike</x:v>
      </x:c>
      <x:c r="E16" s="21" t="str">
        <x:v>Air Force 1 Low</x:v>
      </x:c>
      <x:c r="F16" s="21" t="str">
        <x:v>Triple White, Black/White, White/Gum, White/Red, White/Blue</x:v>
      </x:c>
      <x:c r="G16" s="21" t="str">
        <x:v>Hombre 39-44 / surtir 40-43</x:v>
      </x:c>
      <x:c r="H16" s="21" t="str">
        <x:v>Nike vuelve fuerte; mezcla de retro, runner y diario.</x:v>
      </x:c>
      <x:c r="I16" s="21" t="str">
        <x:v>https://stockx.com/about/sx-market-insights/big-facts-current-culture-index-2026/</x:v>
      </x:c>
      <x:c r="J16" s="21" t="str">
        <x:v>https://www.nike.com/w?q=Nike%20Air%20Force%201%20Low</x:v>
      </x:c>
    </x:row>
    <x:row r="17" ht="43.5" customHeight="1">
      <x:c r="A17" s="21" t="str">
        <x:v>Alta</x:v>
      </x:c>
      <x:c r="B17" s="21" t="str">
        <x:v>Hombre</x:v>
      </x:c>
      <x:c r="C17" s="21" t="str">
        <x:v>Nike lifestyle / runner</x:v>
      </x:c>
      <x:c r="D17" s="21" t="str">
        <x:v>Nike</x:v>
      </x:c>
      <x:c r="E17" s="21" t="str">
        <x:v>Nike Dunk Low</x:v>
      </x:c>
      <x:c r="F17" s="21" t="str">
        <x:v>Panda, Grey Fog, University Blue, Michigan, Cacao Wow</x:v>
      </x:c>
      <x:c r="G17" s="21" t="str">
        <x:v>Hombre 39-44 / surtir 40-43</x:v>
      </x:c>
      <x:c r="H17" s="21" t="str">
        <x:v>Nike vuelve fuerte; mezcla de retro, runner y diario.</x:v>
      </x:c>
      <x:c r="I17" s="21" t="str">
        <x:v>https://stockx.com/about/sx-market-insights/big-facts-current-culture-index-2026/</x:v>
      </x:c>
      <x:c r="J17" s="21" t="str">
        <x:v>https://www.nike.com/w?q=Nike%20Nike%20Dunk%20Low</x:v>
      </x:c>
    </x:row>
    <x:row r="18" ht="43.5" customHeight="1">
      <x:c r="A18" s="21" t="str">
        <x:v>Alta</x:v>
      </x:c>
      <x:c r="B18" s="21" t="str">
        <x:v>Hombre</x:v>
      </x:c>
      <x:c r="C18" s="21" t="str">
        <x:v>Nike lifestyle / runner</x:v>
      </x:c>
      <x:c r="D18" s="21" t="str">
        <x:v>Nike</x:v>
      </x:c>
      <x:c r="E18" s="21" t="str">
        <x:v>Nike Vomero 5</x:v>
      </x:c>
      <x:c r="F18" s="21" t="str">
        <x:v>Photon Dust, Metallic Silver, Black, Light Orewood, Supersonic</x:v>
      </x:c>
      <x:c r="G18" s="21" t="str">
        <x:v>Hombre 39-44 / surtir 40-43</x:v>
      </x:c>
      <x:c r="H18" s="21" t="str">
        <x:v>Nike vuelve fuerte; mezcla de retro, runner y diario.</x:v>
      </x:c>
      <x:c r="I18" s="21" t="str">
        <x:v>https://stockx.com/about/sx-market-insights/big-facts-current-culture-index-2026/</x:v>
      </x:c>
      <x:c r="J18" s="21" t="str">
        <x:v>https://www.nike.com/w?q=Nike%20Nike%20Vomero%205</x:v>
      </x:c>
    </x:row>
    <x:row r="19" ht="43.5" customHeight="1">
      <x:c r="A19" s="21" t="str">
        <x:v>Alta</x:v>
      </x:c>
      <x:c r="B19" s="21" t="str">
        <x:v>Hombre</x:v>
      </x:c>
      <x:c r="C19" s="21" t="str">
        <x:v>Nike lifestyle / runner</x:v>
      </x:c>
      <x:c r="D19" s="21" t="str">
        <x:v>Nike</x:v>
      </x:c>
      <x:c r="E19" s="21" t="str">
        <x:v>Nike P-6000</x:v>
      </x:c>
      <x:c r="F19" s="21" t="str">
        <x:v>Metallic Silver, White/Black, Platinum Tint, Black/Anthracite</x:v>
      </x:c>
      <x:c r="G19" s="21" t="str">
        <x:v>Hombre 39-44 / surtir 40-43</x:v>
      </x:c>
      <x:c r="H19" s="21" t="str">
        <x:v>Nike vuelve fuerte; mezcla de retro, runner y diario.</x:v>
      </x:c>
      <x:c r="I19" s="21" t="str">
        <x:v>https://stockx.com/about/sx-market-insights/big-facts-current-culture-index-2026/</x:v>
      </x:c>
      <x:c r="J19" s="21" t="str">
        <x:v>https://www.nike.com/w?q=Nike%20Nike%20P-6000</x:v>
      </x:c>
    </x:row>
    <x:row r="20" ht="43.5" customHeight="1">
      <x:c r="A20" s="21" t="str">
        <x:v>Media</x:v>
      </x:c>
      <x:c r="B20" s="21" t="str">
        <x:v>Hombre</x:v>
      </x:c>
      <x:c r="C20" s="21" t="str">
        <x:v>Nike lifestyle / runner</x:v>
      </x:c>
      <x:c r="D20" s="21" t="str">
        <x:v>Nike</x:v>
      </x:c>
      <x:c r="E20" s="21" t="str">
        <x:v>Nike V5 RNR</x:v>
      </x:c>
      <x:c r="F20" s="21" t="str">
        <x:v>Silver/Black, White/Blue, Black/White, Grey/Green</x:v>
      </x:c>
      <x:c r="G20" s="21" t="str">
        <x:v>Hombre 39-44 / surtir 40-43</x:v>
      </x:c>
      <x:c r="H20" s="21" t="str">
        <x:v>Nike vuelve fuerte; mezcla de retro, runner y diario.</x:v>
      </x:c>
      <x:c r="I20" s="21" t="str">
        <x:v>https://stockx.com/about/sx-market-insights/big-facts-current-culture-index-2026/</x:v>
      </x:c>
      <x:c r="J20" s="21" t="str">
        <x:v>https://www.nike.com/w?q=Nike%20Nike%20V5%20RNR</x:v>
      </x:c>
    </x:row>
    <x:row r="21" ht="43.5" customHeight="1">
      <x:c r="A21" s="21" t="str">
        <x:v>Media</x:v>
      </x:c>
      <x:c r="B21" s="21" t="str">
        <x:v>Hombre</x:v>
      </x:c>
      <x:c r="C21" s="21" t="str">
        <x:v>Nike lifestyle / runner</x:v>
      </x:c>
      <x:c r="D21" s="21" t="str">
        <x:v>Nike</x:v>
      </x:c>
      <x:c r="E21" s="21" t="str">
        <x:v>Nike Shox TL</x:v>
      </x:c>
      <x:c r="F21" s="21" t="str">
        <x:v>Black/Metallic, White/Silver, Orange, Triple Black</x:v>
      </x:c>
      <x:c r="G21" s="21" t="str">
        <x:v>Hombre 39-44 / surtir 40-43</x:v>
      </x:c>
      <x:c r="H21" s="21" t="str">
        <x:v>Nike vuelve fuerte; mezcla de retro, runner y diario.</x:v>
      </x:c>
      <x:c r="I21" s="21" t="str">
        <x:v>https://stockx.com/about/sx-market-insights/big-facts-current-culture-index-2026/</x:v>
      </x:c>
      <x:c r="J21" s="21" t="str">
        <x:v>https://www.nike.com/w?q=Nike%20Nike%20Shox%20TL</x:v>
      </x:c>
    </x:row>
    <x:row r="22" ht="43.5" customHeight="1">
      <x:c r="A22" s="21" t="str">
        <x:v>Media</x:v>
      </x:c>
      <x:c r="B22" s="21" t="str">
        <x:v>Hombre</x:v>
      </x:c>
      <x:c r="C22" s="21" t="str">
        <x:v>Nike lifestyle / runner</x:v>
      </x:c>
      <x:c r="D22" s="21" t="str">
        <x:v>Nike</x:v>
      </x:c>
      <x:c r="E22" s="21" t="str">
        <x:v>Nike Cortez</x:v>
      </x:c>
      <x:c r="F22" s="21" t="str">
        <x:v>Forrest Gump white/red/blue, Black/White, Nylon Blue, Yellow</x:v>
      </x:c>
      <x:c r="G22" s="21" t="str">
        <x:v>Hombre 39-44 / surtir 40-43</x:v>
      </x:c>
      <x:c r="H22" s="21" t="str">
        <x:v>Nike vuelve fuerte; mezcla de retro, runner y diario.</x:v>
      </x:c>
      <x:c r="I22" s="21" t="str">
        <x:v>https://stockx.com/about/sx-market-insights/big-facts-current-culture-index-2026/</x:v>
      </x:c>
      <x:c r="J22" s="21" t="str">
        <x:v>https://www.nike.com/w?q=Nike%20Nike%20Cortez</x:v>
      </x:c>
    </x:row>
    <x:row r="23" ht="43.5" customHeight="1">
      <x:c r="A23" s="21" t="str">
        <x:v>Media</x:v>
      </x:c>
      <x:c r="B23" s="21" t="str">
        <x:v>Hombre</x:v>
      </x:c>
      <x:c r="C23" s="21" t="str">
        <x:v>Nike lifestyle / runner</x:v>
      </x:c>
      <x:c r="D23" s="21" t="str">
        <x:v>Nike</x:v>
      </x:c>
      <x:c r="E23" s="21" t="str">
        <x:v>Nike Field General</x:v>
      </x:c>
      <x:c r="F23" s="21" t="str">
        <x:v>White/Black, White/Red, Gum, University Blue</x:v>
      </x:c>
      <x:c r="G23" s="21" t="str">
        <x:v>Hombre 39-44 / surtir 40-43</x:v>
      </x:c>
      <x:c r="H23" s="21" t="str">
        <x:v>Nike vuelve fuerte; mezcla de retro, runner y diario.</x:v>
      </x:c>
      <x:c r="I23" s="21" t="str">
        <x:v>https://stockx.com/about/sx-market-insights/big-facts-current-culture-index-2026/</x:v>
      </x:c>
      <x:c r="J23" s="21" t="str">
        <x:v>https://www.nike.com/w?q=Nike%20Nike%20Field%20General</x:v>
      </x:c>
    </x:row>
    <x:row r="24" ht="43.5" customHeight="1">
      <x:c r="A24" s="21" t="str">
        <x:v>Media</x:v>
      </x:c>
      <x:c r="B24" s="21" t="str">
        <x:v>Hombre</x:v>
      </x:c>
      <x:c r="C24" s="21" t="str">
        <x:v>Nike lifestyle / runner</x:v>
      </x:c>
      <x:c r="D24" s="21" t="str">
        <x:v>Nike</x:v>
      </x:c>
      <x:c r="E24" s="21" t="str">
        <x:v>Nike Air Max DN</x:v>
      </x:c>
      <x:c r="F24" s="21" t="str">
        <x:v>Black/White, Volt, Blue, Silver, All Black</x:v>
      </x:c>
      <x:c r="G24" s="21" t="str">
        <x:v>Hombre 39-44 / surtir 40-43</x:v>
      </x:c>
      <x:c r="H24" s="21" t="str">
        <x:v>Nike vuelve fuerte; mezcla de retro, runner y diario.</x:v>
      </x:c>
      <x:c r="I24" s="21" t="str">
        <x:v>https://stockx.com/about/sx-market-insights/big-facts-current-culture-index-2026/</x:v>
      </x:c>
      <x:c r="J24" s="21" t="str">
        <x:v>https://www.nike.com/w?q=Nike%20Nike%20Air%20Max%20DN</x:v>
      </x:c>
    </x:row>
    <x:row r="25" ht="43.5" customHeight="1">
      <x:c r="A25" s="21" t="str">
        <x:v>Media</x:v>
      </x:c>
      <x:c r="B25" s="21" t="str">
        <x:v>Hombre</x:v>
      </x:c>
      <x:c r="C25" s="21" t="str">
        <x:v>Nike lifestyle / runner</x:v>
      </x:c>
      <x:c r="D25" s="21" t="str">
        <x:v>Nike</x:v>
      </x:c>
      <x:c r="E25" s="21" t="str">
        <x:v>Nike Air Max Plus TN</x:v>
      </x:c>
      <x:c r="F25" s="21" t="str">
        <x:v>Black/Orange, Hyper Blue, Triple Black, Silver</x:v>
      </x:c>
      <x:c r="G25" s="21" t="str">
        <x:v>Hombre 39-44 / surtir 40-43</x:v>
      </x:c>
      <x:c r="H25" s="21" t="str">
        <x:v>Nike vuelve fuerte; mezcla de retro, runner y diario.</x:v>
      </x:c>
      <x:c r="I25" s="21" t="str">
        <x:v>https://stockx.com/about/sx-market-insights/big-facts-current-culture-index-2026/</x:v>
      </x:c>
      <x:c r="J25" s="21" t="str">
        <x:v>https://www.nike.com/w?q=Nike%20Nike%20Air%20Max%20Plus%20TN</x:v>
      </x:c>
    </x:row>
    <x:row r="26" ht="43.5" customHeight="1">
      <x:c r="A26" s="21" t="str">
        <x:v>Media</x:v>
      </x:c>
      <x:c r="B26" s="21" t="str">
        <x:v>Hombre</x:v>
      </x:c>
      <x:c r="C26" s="21" t="str">
        <x:v>Nike lifestyle / runner</x:v>
      </x:c>
      <x:c r="D26" s="21" t="str">
        <x:v>Nike</x:v>
      </x:c>
      <x:c r="E26" s="21" t="str">
        <x:v>Nike Air Max 95</x:v>
      </x:c>
      <x:c r="F26" s="21" t="str">
        <x:v>Neon, Grey Gradient, Black, Silver, Olive</x:v>
      </x:c>
      <x:c r="G26" s="21" t="str">
        <x:v>Hombre 39-44 / surtir 40-43</x:v>
      </x:c>
      <x:c r="H26" s="21" t="str">
        <x:v>Nike vuelve fuerte; mezcla de retro, runner y diario.</x:v>
      </x:c>
      <x:c r="I26" s="21" t="str">
        <x:v>https://stockx.com/about/sx-market-insights/big-facts-current-culture-index-2026/</x:v>
      </x:c>
      <x:c r="J26" s="21" t="str">
        <x:v>https://www.nike.com/w?q=Nike%20Nike%20Air%20Max%2095</x:v>
      </x:c>
    </x:row>
    <x:row r="27" ht="43.5" customHeight="1">
      <x:c r="A27" s="21" t="str">
        <x:v>Media</x:v>
      </x:c>
      <x:c r="B27" s="21" t="str">
        <x:v>Hombre</x:v>
      </x:c>
      <x:c r="C27" s="21" t="str">
        <x:v>Nike lifestyle / runner</x:v>
      </x:c>
      <x:c r="D27" s="21" t="str">
        <x:v>Nike</x:v>
      </x:c>
      <x:c r="E27" s="21" t="str">
        <x:v>Nike Air Max 90</x:v>
      </x:c>
      <x:c r="F27" s="21" t="str">
        <x:v>Infrared, White/Black, Grey, Navy, Burgundy</x:v>
      </x:c>
      <x:c r="G27" s="21" t="str">
        <x:v>Hombre 39-44 / surtir 40-43</x:v>
      </x:c>
      <x:c r="H27" s="21" t="str">
        <x:v>Nike vuelve fuerte; mezcla de retro, runner y diario.</x:v>
      </x:c>
      <x:c r="I27" s="21" t="str">
        <x:v>https://stockx.com/about/sx-market-insights/big-facts-current-culture-index-2026/</x:v>
      </x:c>
      <x:c r="J27" s="21" t="str">
        <x:v>https://www.nike.com/w?q=Nike%20Nike%20Air%20Max%2090</x:v>
      </x:c>
    </x:row>
    <x:row r="28" ht="43.5" customHeight="1">
      <x:c r="A28" s="21" t="str">
        <x:v>Prueba</x:v>
      </x:c>
      <x:c r="B28" s="21" t="str">
        <x:v>Hombre</x:v>
      </x:c>
      <x:c r="C28" s="21" t="str">
        <x:v>Nike lifestyle / runner</x:v>
      </x:c>
      <x:c r="D28" s="21" t="str">
        <x:v>Nike</x:v>
      </x:c>
      <x:c r="E28" s="21" t="str">
        <x:v>Nike Killshot 2</x:v>
      </x:c>
      <x:c r="F28" s="21" t="str">
        <x:v>Sail/Gum, Navy, Green, Black, Red</x:v>
      </x:c>
      <x:c r="G28" s="21" t="str">
        <x:v>Hombre 39-44 / surtir 40-43</x:v>
      </x:c>
      <x:c r="H28" s="21" t="str">
        <x:v>Nike vuelve fuerte; mezcla de retro, runner y diario.</x:v>
      </x:c>
      <x:c r="I28" s="21" t="str">
        <x:v>https://stockx.com/about/sx-market-insights/big-facts-current-culture-index-2026/</x:v>
      </x:c>
      <x:c r="J28" s="21" t="str">
        <x:v>https://www.nike.com/w?q=Nike%20Nike%20Killshot%202</x:v>
      </x:c>
    </x:row>
    <x:row r="29" ht="43.5" customHeight="1">
      <x:c r="A29" s="21" t="str">
        <x:v>Prueba</x:v>
      </x:c>
      <x:c r="B29" s="21" t="str">
        <x:v>Hombre</x:v>
      </x:c>
      <x:c r="C29" s="21" t="str">
        <x:v>Nike lifestyle / runner</x:v>
      </x:c>
      <x:c r="D29" s="21" t="str">
        <x:v>Nike</x:v>
      </x:c>
      <x:c r="E29" s="21" t="str">
        <x:v>Nike Mac Attack</x:v>
      </x:c>
      <x:c r="F29" s="21" t="str">
        <x:v>Grey/Black, Red Crush, Sail, Game Royal</x:v>
      </x:c>
      <x:c r="G29" s="21" t="str">
        <x:v>Hombre 39-44 / surtir 40-43</x:v>
      </x:c>
      <x:c r="H29" s="21" t="str">
        <x:v>Nike vuelve fuerte; mezcla de retro, runner y diario.</x:v>
      </x:c>
      <x:c r="I29" s="21" t="str">
        <x:v>https://stockx.com/about/sx-market-insights/big-facts-current-culture-index-2026/</x:v>
      </x:c>
      <x:c r="J29" s="21" t="str">
        <x:v>https://www.nike.com/w?q=Nike%20Nike%20Mac%20Attack</x:v>
      </x:c>
    </x:row>
    <x:row r="30" ht="43.5" customHeight="1">
      <x:c r="A30" s="21" t="str">
        <x:v>Prueba</x:v>
      </x:c>
      <x:c r="B30" s="21" t="str">
        <x:v>Hombre</x:v>
      </x:c>
      <x:c r="C30" s="21" t="str">
        <x:v>Nike lifestyle / runner</x:v>
      </x:c>
      <x:c r="D30" s="21" t="str">
        <x:v>Nike</x:v>
      </x:c>
      <x:c r="E30" s="21" t="str">
        <x:v>Nike Total 90 / futbol lifestyle</x:v>
      </x:c>
      <x:c r="F30" s="21" t="str">
        <x:v>White/Black, Silver, Blue, Red</x:v>
      </x:c>
      <x:c r="G30" s="21" t="str">
        <x:v>Hombre 39-44 / surtir 40-43</x:v>
      </x:c>
      <x:c r="H30" s="21" t="str">
        <x:v>Nike vuelve fuerte; mezcla de retro, runner y diario.</x:v>
      </x:c>
      <x:c r="I30" s="21" t="str">
        <x:v>https://stockx.com/about/sx-market-insights/big-facts-current-culture-index-2026/</x:v>
      </x:c>
      <x:c r="J30" s="21" t="str">
        <x:v>https://www.nike.com/w?q=Nike%20Nike%20Total%2090%20%2F%20futbol%20lifestyle</x:v>
      </x:c>
    </x:row>
    <x:row r="31" ht="43.5" customHeight="1">
      <x:c r="A31" s="21" t="str">
        <x:v>Alta</x:v>
      </x:c>
      <x:c r="B31" s="21" t="str">
        <x:v>Hombre</x:v>
      </x:c>
      <x:c r="C31" s="21" t="str">
        <x:v>Basket actual</x:v>
      </x:c>
      <x:c r="D31" s="21" t="str">
        <x:v>Nike</x:v>
      </x:c>
      <x:c r="E31" s="21" t="str">
        <x:v>Nike Kobe 4 Protro</x:v>
      </x:c>
      <x:c r="F31" s="21" t="str">
        <x:v>Carpe Diem, Philly, Girl Dad, Black/Gold, Lakers</x:v>
      </x:c>
      <x:c r="G31" s="21" t="str">
        <x:v>Hombre 39-45 / basket 41-44</x:v>
      </x:c>
      <x:c r="H31" s="21" t="str">
        <x:v>Firmas actuales con cancha-calle; buenas para jovenes.</x:v>
      </x:c>
      <x:c r="I31" s="21" t="str">
        <x:v>https://www.si.com/fannation/sneakers/news/10-best-back-to-school-shoes-of-2026</x:v>
      </x:c>
      <x:c r="J31" s="21" t="str">
        <x:v>https://www.nike.com/w?q=Nike%20Nike%20Kobe%204%20Protro</x:v>
      </x:c>
    </x:row>
    <x:row r="32" ht="43.5" customHeight="1">
      <x:c r="A32" s="21" t="str">
        <x:v>Alta</x:v>
      </x:c>
      <x:c r="B32" s="21" t="str">
        <x:v>Hombre</x:v>
      </x:c>
      <x:c r="C32" s="21" t="str">
        <x:v>Basket actual</x:v>
      </x:c>
      <x:c r="D32" s="21" t="str">
        <x:v>Nike</x:v>
      </x:c>
      <x:c r="E32" s="21" t="str">
        <x:v>Nike Kobe 5 Protro</x:v>
      </x:c>
      <x:c r="F32" s="21" t="str">
        <x:v>Bruce Lee, Chaos, Lakers, Year of Mamba, X-Ray</x:v>
      </x:c>
      <x:c r="G32" s="21" t="str">
        <x:v>Hombre 39-45 / basket 41-44</x:v>
      </x:c>
      <x:c r="H32" s="21" t="str">
        <x:v>Firmas actuales con cancha-calle; buenas para jovenes.</x:v>
      </x:c>
      <x:c r="I32" s="21" t="str">
        <x:v>https://www.si.com/fannation/sneakers/news/10-best-back-to-school-shoes-of-2026</x:v>
      </x:c>
      <x:c r="J32" s="21" t="str">
        <x:v>https://www.nike.com/w?q=Nike%20Nike%20Kobe%205%20Protro</x:v>
      </x:c>
    </x:row>
    <x:row r="33" ht="43.5" customHeight="1">
      <x:c r="A33" s="21" t="str">
        <x:v>Alta</x:v>
      </x:c>
      <x:c r="B33" s="21" t="str">
        <x:v>Hombre</x:v>
      </x:c>
      <x:c r="C33" s="21" t="str">
        <x:v>Basket actual</x:v>
      </x:c>
      <x:c r="D33" s="21" t="str">
        <x:v>Nike</x:v>
      </x:c>
      <x:c r="E33" s="21" t="str">
        <x:v>Nike Kobe 6 Protro</x:v>
      </x:c>
      <x:c r="F33" s="21" t="str">
        <x:v>Grinch, Reverse Grinch, Italian Camo, All-Star, Dodgers</x:v>
      </x:c>
      <x:c r="G33" s="21" t="str">
        <x:v>Hombre 39-45 / basket 41-44</x:v>
      </x:c>
      <x:c r="H33" s="21" t="str">
        <x:v>Firmas actuales con cancha-calle; buenas para jovenes.</x:v>
      </x:c>
      <x:c r="I33" s="21" t="str">
        <x:v>https://www.si.com/fannation/sneakers/news/10-best-back-to-school-shoes-of-2026</x:v>
      </x:c>
      <x:c r="J33" s="21" t="str">
        <x:v>https://www.nike.com/w?q=Nike%20Nike%20Kobe%206%20Protro</x:v>
      </x:c>
    </x:row>
    <x:row r="34" ht="43.5" customHeight="1">
      <x:c r="A34" s="21" t="str">
        <x:v>Alta</x:v>
      </x:c>
      <x:c r="B34" s="21" t="str">
        <x:v>Hombre</x:v>
      </x:c>
      <x:c r="C34" s="21" t="str">
        <x:v>Basket actual</x:v>
      </x:c>
      <x:c r="D34" s="21" t="str">
        <x:v>Nike</x:v>
      </x:c>
      <x:c r="E34" s="21" t="str">
        <x:v>Nike Kobe 8 Protro</x:v>
      </x:c>
      <x:c r="F34" s="21" t="str">
        <x:v>Halo, Venice Beach, Court Purple, Lakers, Aqua</x:v>
      </x:c>
      <x:c r="G34" s="21" t="str">
        <x:v>Hombre 39-45 / basket 41-44</x:v>
      </x:c>
      <x:c r="H34" s="21" t="str">
        <x:v>Firmas actuales con cancha-calle; buenas para jovenes.</x:v>
      </x:c>
      <x:c r="I34" s="21" t="str">
        <x:v>https://www.si.com/fannation/sneakers/news/10-best-back-to-school-shoes-of-2026</x:v>
      </x:c>
      <x:c r="J34" s="21" t="str">
        <x:v>https://www.nike.com/w?q=Nike%20Nike%20Kobe%208%20Protro</x:v>
      </x:c>
    </x:row>
    <x:row r="35" ht="43.5" customHeight="1">
      <x:c r="A35" s="21" t="str">
        <x:v>Alta</x:v>
      </x:c>
      <x:c r="B35" s="21" t="str">
        <x:v>Hombre</x:v>
      </x:c>
      <x:c r="C35" s="21" t="str">
        <x:v>Basket actual</x:v>
      </x:c>
      <x:c r="D35" s="21" t="str">
        <x:v>Nike</x:v>
      </x:c>
      <x:c r="E35" s="21" t="str">
        <x:v>Nike Kobe 9 Elite/Low</x:v>
      </x:c>
      <x:c r="F35" s="21" t="str">
        <x:v>Masterpiece, Halo, Beethoven, Black/White</x:v>
      </x:c>
      <x:c r="G35" s="21" t="str">
        <x:v>Hombre 39-45 / basket 41-44</x:v>
      </x:c>
      <x:c r="H35" s="21" t="str">
        <x:v>Firmas actuales con cancha-calle; buenas para jovenes.</x:v>
      </x:c>
      <x:c r="I35" s="21" t="str">
        <x:v>https://www.si.com/fannation/sneakers/news/10-best-back-to-school-shoes-of-2026</x:v>
      </x:c>
      <x:c r="J35" s="21" t="str">
        <x:v>https://www.nike.com/w?q=Nike%20Nike%20Kobe%209%20Elite%2FLow</x:v>
      </x:c>
    </x:row>
    <x:row r="36" ht="43.5" customHeight="1">
      <x:c r="A36" s="21" t="str">
        <x:v>Alta</x:v>
      </x:c>
      <x:c r="B36" s="21" t="str">
        <x:v>Hombre</x:v>
      </x:c>
      <x:c r="C36" s="21" t="str">
        <x:v>Basket actual</x:v>
      </x:c>
      <x:c r="D36" s="21" t="str">
        <x:v>Nike</x:v>
      </x:c>
      <x:c r="E36" s="21" t="str">
        <x:v>Nike Sabrina 3</x:v>
      </x:c>
      <x:c r="F36" s="21" t="str">
        <x:v>Ivory/Black, Light Blue, Pink, University Red, Lavender</x:v>
      </x:c>
      <x:c r="G36" s="21" t="str">
        <x:v>Hombre 39-45 / basket 41-44</x:v>
      </x:c>
      <x:c r="H36" s="21" t="str">
        <x:v>Firmas actuales con cancha-calle; buenas para jovenes.</x:v>
      </x:c>
      <x:c r="I36" s="21" t="str">
        <x:v>https://www.si.com/fannation/sneakers/news/10-best-back-to-school-shoes-of-2026</x:v>
      </x:c>
      <x:c r="J36" s="21" t="str">
        <x:v>https://www.nike.com/w?q=Nike%20Nike%20Sabrina%203</x:v>
      </x:c>
    </x:row>
    <x:row r="37" ht="43.5" customHeight="1">
      <x:c r="A37" s="21" t="str">
        <x:v>Alta</x:v>
      </x:c>
      <x:c r="B37" s="21" t="str">
        <x:v>Hombre</x:v>
      </x:c>
      <x:c r="C37" s="21" t="str">
        <x:v>Basket actual</x:v>
      </x:c>
      <x:c r="D37" s="21" t="str">
        <x:v>Nike</x:v>
      </x:c>
      <x:c r="E37" s="21" t="str">
        <x:v>Nike Ja 2/3</x:v>
      </x:c>
      <x:c r="F37" s="21" t="str">
        <x:v>Purple/Lime, Black/Red, Halloween Orange, Light Blue</x:v>
      </x:c>
      <x:c r="G37" s="21" t="str">
        <x:v>Hombre 39-45 / basket 41-44</x:v>
      </x:c>
      <x:c r="H37" s="21" t="str">
        <x:v>Firmas actuales con cancha-calle; buenas para jovenes.</x:v>
      </x:c>
      <x:c r="I37" s="21" t="str">
        <x:v>https://www.si.com/fannation/sneakers/news/10-best-back-to-school-shoes-of-2026</x:v>
      </x:c>
      <x:c r="J37" s="21" t="str">
        <x:v>https://www.nike.com/w?q=Nike%20Nike%20Ja%202%2F3</x:v>
      </x:c>
    </x:row>
    <x:row r="38" ht="43.5" customHeight="1">
      <x:c r="A38" s="21" t="str">
        <x:v>Media</x:v>
      </x:c>
      <x:c r="B38" s="21" t="str">
        <x:v>Hombre</x:v>
      </x:c>
      <x:c r="C38" s="21" t="str">
        <x:v>Basket actual</x:v>
      </x:c>
      <x:c r="D38" s="21" t="str">
        <x:v>Nike</x:v>
      </x:c>
      <x:c r="E38" s="21" t="str">
        <x:v>Nike KD 17/18/19</x:v>
      </x:c>
      <x:c r="F38" s="21" t="str">
        <x:v>Aunt Pearl, Black/White, Blue/Orange, Red/Black, Silver</x:v>
      </x:c>
      <x:c r="G38" s="21" t="str">
        <x:v>Hombre 39-45 / basket 41-44</x:v>
      </x:c>
      <x:c r="H38" s="21" t="str">
        <x:v>Firmas actuales con cancha-calle; buenas para jovenes.</x:v>
      </x:c>
      <x:c r="I38" s="21" t="str">
        <x:v>https://www.si.com/fannation/sneakers/news/10-best-back-to-school-shoes-of-2026</x:v>
      </x:c>
      <x:c r="J38" s="21" t="str">
        <x:v>https://www.nike.com/w?q=Nike%20Nike%20KD%2017%2F18%2F19</x:v>
      </x:c>
    </x:row>
    <x:row r="39" ht="43.5" customHeight="1">
      <x:c r="A39" s="21" t="str">
        <x:v>Media</x:v>
      </x:c>
      <x:c r="B39" s="21" t="str">
        <x:v>Hombre</x:v>
      </x:c>
      <x:c r="C39" s="21" t="str">
        <x:v>Basket actual</x:v>
      </x:c>
      <x:c r="D39" s="21" t="str">
        <x:v>Nike</x:v>
      </x:c>
      <x:c r="E39" s="21" t="str">
        <x:v>Nike GT Cut 3/4</x:v>
      </x:c>
      <x:c r="F39" s="21" t="str">
        <x:v>White/Black, Volt, Blue, Orange, Pink/Black</x:v>
      </x:c>
      <x:c r="G39" s="21" t="str">
        <x:v>Hombre 39-45 / basket 41-44</x:v>
      </x:c>
      <x:c r="H39" s="21" t="str">
        <x:v>Firmas actuales con cancha-calle; buenas para jovenes.</x:v>
      </x:c>
      <x:c r="I39" s="21" t="str">
        <x:v>https://www.si.com/fannation/sneakers/news/10-best-back-to-school-shoes-of-2026</x:v>
      </x:c>
      <x:c r="J39" s="21" t="str">
        <x:v>https://www.nike.com/w?q=Nike%20Nike%20GT%20Cut%203%2F4</x:v>
      </x:c>
    </x:row>
    <x:row r="40" ht="43.5" customHeight="1">
      <x:c r="A40" s="21" t="str">
        <x:v>Alta</x:v>
      </x:c>
      <x:c r="B40" s="21" t="str">
        <x:v>Hombre</x:v>
      </x:c>
      <x:c r="C40" s="21" t="str">
        <x:v>Basket actual</x:v>
      </x:c>
      <x:c r="D40" s="21" t="str">
        <x:v>Nike</x:v>
      </x:c>
      <x:c r="E40" s="21" t="str">
        <x:v>Nike GT Future</x:v>
      </x:c>
      <x:c r="F40" s="21" t="str">
        <x:v>Silver, Black/White, Grey, Sail, Metallic Blue</x:v>
      </x:c>
      <x:c r="G40" s="21" t="str">
        <x:v>Hombre 39-45 / basket 41-44</x:v>
      </x:c>
      <x:c r="H40" s="21" t="str">
        <x:v>Firmas actuales con cancha-calle; buenas para jovenes.</x:v>
      </x:c>
      <x:c r="I40" s="21" t="str">
        <x:v>https://www.si.com/fannation/sneakers/news/10-best-back-to-school-shoes-of-2026</x:v>
      </x:c>
      <x:c r="J40" s="21" t="str">
        <x:v>https://www.nike.com/w?q=Nike%20Nike%20GT%20Future</x:v>
      </x:c>
    </x:row>
    <x:row r="41" ht="43.5" customHeight="1">
      <x:c r="A41" s="21" t="str">
        <x:v>Media</x:v>
      </x:c>
      <x:c r="B41" s="21" t="str">
        <x:v>Hombre</x:v>
      </x:c>
      <x:c r="C41" s="21" t="str">
        <x:v>Basket actual</x:v>
      </x:c>
      <x:c r="D41" s="21" t="str">
        <x:v>Nike</x:v>
      </x:c>
      <x:c r="E41" s="21" t="str">
        <x:v>Nike LeBron 22/23</x:v>
      </x:c>
      <x:c r="F41" s="21" t="str">
        <x:v>Black/Gold, Lakers, White/Navy, Red/Black</x:v>
      </x:c>
      <x:c r="G41" s="21" t="str">
        <x:v>Hombre 39-45 / basket 41-44</x:v>
      </x:c>
      <x:c r="H41" s="21" t="str">
        <x:v>Firmas actuales con cancha-calle; buenas para jovenes.</x:v>
      </x:c>
      <x:c r="I41" s="21" t="str">
        <x:v>https://www.si.com/fannation/sneakers/news/10-best-back-to-school-shoes-of-2026</x:v>
      </x:c>
      <x:c r="J41" s="21" t="str">
        <x:v>https://www.nike.com/w?q=Nike%20Nike%20LeBron%2022%2F23</x:v>
      </x:c>
    </x:row>
    <x:row r="42" ht="43.5" customHeight="1">
      <x:c r="A42" s="21" t="str">
        <x:v>Alta</x:v>
      </x:c>
      <x:c r="B42" s="21" t="str">
        <x:v>Hombre</x:v>
      </x:c>
      <x:c r="C42" s="21" t="str">
        <x:v>Basket actual</x:v>
      </x:c>
      <x:c r="D42" s="21" t="str">
        <x:v>Nike</x:v>
      </x:c>
      <x:c r="E42" s="21" t="str">
        <x:v>Nike A'ja Wilson A'One/A'Two</x:v>
      </x:c>
      <x:c r="F42" s="21" t="str">
        <x:v>Cream/Black, Pink, Silver, Burgundy, White/Green</x:v>
      </x:c>
      <x:c r="G42" s="21" t="str">
        <x:v>Hombre 39-45 / basket 41-44</x:v>
      </x:c>
      <x:c r="H42" s="21" t="str">
        <x:v>Firmas actuales con cancha-calle; buenas para jovenes.</x:v>
      </x:c>
      <x:c r="I42" s="21" t="str">
        <x:v>https://www.si.com/fannation/sneakers/news/10-best-back-to-school-shoes-of-2026</x:v>
      </x:c>
      <x:c r="J42" s="21" t="str">
        <x:v>https://www.nike.com/w?q=Nike%20Nike%20A'ja%20Wilson%20A'One%2FA'Two</x:v>
      </x:c>
    </x:row>
    <x:row r="43" ht="43.5" customHeight="1">
      <x:c r="A43" s="21" t="str">
        <x:v>Alta</x:v>
      </x:c>
      <x:c r="B43" s="21" t="str">
        <x:v>Hombre</x:v>
      </x:c>
      <x:c r="C43" s="21" t="str">
        <x:v>Adidas terrace / moda</x:v>
      </x:c>
      <x:c r="D43" s="21" t="str">
        <x:v>adidas</x:v>
      </x:c>
      <x:c r="E43" s="21" t="str">
        <x:v>Samba OG</x:v>
      </x:c>
      <x:c r="F43" s="21" t="str">
        <x:v>White/Black, Black/White, Collegiate Green, Navy, Burgundy</x:v>
      </x:c>
      <x:c r="G43" s="21" t="str">
        <x:v>Hombre 39-44 / surtir 40-43</x:v>
      </x:c>
      <x:c r="H43" s="21" t="str">
        <x:v>Terrace, futbol y retro siguen fuertes; faciles para outfits.</x:v>
      </x:c>
      <x:c r="I43" s="21" t="str">
        <x:v>https://www.adidas.com/us/release-dates</x:v>
      </x:c>
      <x:c r="J43" s="21" t="str">
        <x:v>https://www.adidas.com/us/search?q=adidas%20Samba%20OG</x:v>
      </x:c>
    </x:row>
    <x:row r="44" ht="43.5" customHeight="1">
      <x:c r="A44" s="21" t="str">
        <x:v>Alta</x:v>
      </x:c>
      <x:c r="B44" s="21" t="str">
        <x:v>Hombre</x:v>
      </x:c>
      <x:c r="C44" s="21" t="str">
        <x:v>Adidas terrace / moda</x:v>
      </x:c>
      <x:c r="D44" s="21" t="str">
        <x:v>adidas</x:v>
      </x:c>
      <x:c r="E44" s="21" t="str">
        <x:v>Samba LT / Pony Hair</x:v>
      </x:c>
      <x:c r="F44" s="21" t="str">
        <x:v>Black/White, Brown Pony, Leopard, Silver, Cream</x:v>
      </x:c>
      <x:c r="G44" s="21" t="str">
        <x:v>Hombre 39-44 / surtir 40-43</x:v>
      </x:c>
      <x:c r="H44" s="21" t="str">
        <x:v>Terrace, futbol y retro siguen fuertes; faciles para outfits.</x:v>
      </x:c>
      <x:c r="I44" s="21" t="str">
        <x:v>https://www.adidas.com/us/release-dates</x:v>
      </x:c>
      <x:c r="J44" s="21" t="str">
        <x:v>https://www.adidas.com/us/search?q=adidas%20Samba%20LT%20%2F%20Pony%20Hair</x:v>
      </x:c>
    </x:row>
    <x:row r="45" ht="43.5" customHeight="1">
      <x:c r="A45" s="21" t="str">
        <x:v>Alta</x:v>
      </x:c>
      <x:c r="B45" s="21" t="str">
        <x:v>Hombre</x:v>
      </x:c>
      <x:c r="C45" s="21" t="str">
        <x:v>Adidas terrace / moda</x:v>
      </x:c>
      <x:c r="D45" s="21" t="str">
        <x:v>adidas</x:v>
      </x:c>
      <x:c r="E45" s="21" t="str">
        <x:v>Gazelle Indoor</x:v>
      </x:c>
      <x:c r="F45" s="21" t="str">
        <x:v>Blue/Gum, Green/Gum, Burgundy/Gum, Pink, Yellow Butter</x:v>
      </x:c>
      <x:c r="G45" s="21" t="str">
        <x:v>Hombre 39-44 / surtir 40-43</x:v>
      </x:c>
      <x:c r="H45" s="21" t="str">
        <x:v>Terrace, futbol y retro siguen fuertes; faciles para outfits.</x:v>
      </x:c>
      <x:c r="I45" s="21" t="str">
        <x:v>https://www.adidas.com/us/release-dates</x:v>
      </x:c>
      <x:c r="J45" s="21" t="str">
        <x:v>https://www.adidas.com/us/search?q=adidas%20Gazelle%20Indoor</x:v>
      </x:c>
    </x:row>
    <x:row r="46" ht="43.5" customHeight="1">
      <x:c r="A46" s="21" t="str">
        <x:v>Alta</x:v>
      </x:c>
      <x:c r="B46" s="21" t="str">
        <x:v>Hombre</x:v>
      </x:c>
      <x:c r="C46" s="21" t="str">
        <x:v>Adidas terrace / moda</x:v>
      </x:c>
      <x:c r="D46" s="21" t="str">
        <x:v>adidas</x:v>
      </x:c>
      <x:c r="E46" s="21" t="str">
        <x:v>Handball Spezial</x:v>
      </x:c>
      <x:c r="F46" s="21" t="str">
        <x:v>Navy/Gum, Brown, Light Blue, Green, Black/Gum</x:v>
      </x:c>
      <x:c r="G46" s="21" t="str">
        <x:v>Hombre 39-44 / surtir 40-43</x:v>
      </x:c>
      <x:c r="H46" s="21" t="str">
        <x:v>Terrace, futbol y retro siguen fuertes; faciles para outfits.</x:v>
      </x:c>
      <x:c r="I46" s="21" t="str">
        <x:v>https://www.adidas.com/us/release-dates</x:v>
      </x:c>
      <x:c r="J46" s="21" t="str">
        <x:v>https://www.adidas.com/us/search?q=adidas%20Handball%20Spezial</x:v>
      </x:c>
    </x:row>
    <x:row r="47" ht="43.5" customHeight="1">
      <x:c r="A47" s="21" t="str">
        <x:v>Alta</x:v>
      </x:c>
      <x:c r="B47" s="21" t="str">
        <x:v>Hombre</x:v>
      </x:c>
      <x:c r="C47" s="21" t="str">
        <x:v>Adidas terrace / moda</x:v>
      </x:c>
      <x:c r="D47" s="21" t="str">
        <x:v>adidas</x:v>
      </x:c>
      <x:c r="E47" s="21" t="str">
        <x:v>Campus 00s</x:v>
      </x:c>
      <x:c r="F47" s="21" t="str">
        <x:v>Grey/White, Black/White, Green, Brown, Blue</x:v>
      </x:c>
      <x:c r="G47" s="21" t="str">
        <x:v>Hombre 39-44 / surtir 40-43</x:v>
      </x:c>
      <x:c r="H47" s="21" t="str">
        <x:v>Terrace, futbol y retro siguen fuertes; faciles para outfits.</x:v>
      </x:c>
      <x:c r="I47" s="21" t="str">
        <x:v>https://www.adidas.com/us/release-dates</x:v>
      </x:c>
      <x:c r="J47" s="21" t="str">
        <x:v>https://www.adidas.com/us/search?q=adidas%20Campus%2000s</x:v>
      </x:c>
    </x:row>
    <x:row r="48" ht="43.5" customHeight="1">
      <x:c r="A48" s="21" t="str">
        <x:v>Media</x:v>
      </x:c>
      <x:c r="B48" s="21" t="str">
        <x:v>Hombre</x:v>
      </x:c>
      <x:c r="C48" s="21" t="str">
        <x:v>Adidas terrace / moda</x:v>
      </x:c>
      <x:c r="D48" s="21" t="str">
        <x:v>adidas</x:v>
      </x:c>
      <x:c r="E48" s="21" t="str">
        <x:v>SL 72 RS</x:v>
      </x:c>
      <x:c r="F48" s="21" t="str">
        <x:v>Yellow, Blue, Green, Red, Silver</x:v>
      </x:c>
      <x:c r="G48" s="21" t="str">
        <x:v>Hombre 39-44 / surtir 40-43</x:v>
      </x:c>
      <x:c r="H48" s="21" t="str">
        <x:v>Terrace, futbol y retro siguen fuertes; faciles para outfits.</x:v>
      </x:c>
      <x:c r="I48" s="21" t="str">
        <x:v>https://www.adidas.com/us/release-dates</x:v>
      </x:c>
      <x:c r="J48" s="21" t="str">
        <x:v>https://www.adidas.com/us/search?q=adidas%20SL%2072%20RS</x:v>
      </x:c>
    </x:row>
    <x:row r="49" ht="43.5" customHeight="1">
      <x:c r="A49" s="21" t="str">
        <x:v>Media</x:v>
      </x:c>
      <x:c r="B49" s="21" t="str">
        <x:v>Hombre</x:v>
      </x:c>
      <x:c r="C49" s="21" t="str">
        <x:v>Adidas terrace / moda</x:v>
      </x:c>
      <x:c r="D49" s="21" t="str">
        <x:v>adidas</x:v>
      </x:c>
      <x:c r="E49" s="21" t="str">
        <x:v>Tokyo</x:v>
      </x:c>
      <x:c r="F49" s="21" t="str">
        <x:v>Black/White, Silver, Red, Navy, Yellow</x:v>
      </x:c>
      <x:c r="G49" s="21" t="str">
        <x:v>Hombre 39-44 / surtir 40-43</x:v>
      </x:c>
      <x:c r="H49" s="21" t="str">
        <x:v>Terrace, futbol y retro siguen fuertes; faciles para outfits.</x:v>
      </x:c>
      <x:c r="I49" s="21" t="str">
        <x:v>https://www.adidas.com/us/release-dates</x:v>
      </x:c>
      <x:c r="J49" s="21" t="str">
        <x:v>https://www.adidas.com/us/search?q=adidas%20Tokyo</x:v>
      </x:c>
    </x:row>
    <x:row r="50" ht="43.5" customHeight="1">
      <x:c r="A50" s="21" t="str">
        <x:v>Media</x:v>
      </x:c>
      <x:c r="B50" s="21" t="str">
        <x:v>Hombre</x:v>
      </x:c>
      <x:c r="C50" s="21" t="str">
        <x:v>Adidas terrace / moda</x:v>
      </x:c>
      <x:c r="D50" s="21" t="str">
        <x:v>adidas</x:v>
      </x:c>
      <x:c r="E50" s="21" t="str">
        <x:v>Japan</x:v>
      </x:c>
      <x:c r="F50" s="21" t="str">
        <x:v>White/Red, White/Green, Black/White, Cream</x:v>
      </x:c>
      <x:c r="G50" s="21" t="str">
        <x:v>Hombre 39-44 / surtir 40-43</x:v>
      </x:c>
      <x:c r="H50" s="21" t="str">
        <x:v>Terrace, futbol y retro siguen fuertes; faciles para outfits.</x:v>
      </x:c>
      <x:c r="I50" s="21" t="str">
        <x:v>https://www.adidas.com/us/release-dates</x:v>
      </x:c>
      <x:c r="J50" s="21" t="str">
        <x:v>https://www.adidas.com/us/search?q=adidas%20Japan</x:v>
      </x:c>
    </x:row>
    <x:row r="51" ht="43.5" customHeight="1">
      <x:c r="A51" s="21" t="str">
        <x:v>Media</x:v>
      </x:c>
      <x:c r="B51" s="21" t="str">
        <x:v>Hombre</x:v>
      </x:c>
      <x:c r="C51" s="21" t="str">
        <x:v>Adidas terrace / moda</x:v>
      </x:c>
      <x:c r="D51" s="21" t="str">
        <x:v>adidas</x:v>
      </x:c>
      <x:c r="E51" s="21" t="str">
        <x:v>Taekwondo</x:v>
      </x:c>
      <x:c r="F51" s="21" t="str">
        <x:v>Black/White, White/Black, Silver, Cream</x:v>
      </x:c>
      <x:c r="G51" s="21" t="str">
        <x:v>Hombre 39-44 / surtir 40-43</x:v>
      </x:c>
      <x:c r="H51" s="21" t="str">
        <x:v>Terrace, futbol y retro siguen fuertes; faciles para outfits.</x:v>
      </x:c>
      <x:c r="I51" s="21" t="str">
        <x:v>https://www.adidas.com/us/release-dates</x:v>
      </x:c>
      <x:c r="J51" s="21" t="str">
        <x:v>https://www.adidas.com/us/search?q=adidas%20Taekwondo</x:v>
      </x:c>
    </x:row>
    <x:row r="52" ht="43.5" customHeight="1">
      <x:c r="A52" s="21" t="str">
        <x:v>Media</x:v>
      </x:c>
      <x:c r="B52" s="21" t="str">
        <x:v>Hombre</x:v>
      </x:c>
      <x:c r="C52" s="21" t="str">
        <x:v>Adidas terrace / moda</x:v>
      </x:c>
      <x:c r="D52" s="21" t="str">
        <x:v>adidas</x:v>
      </x:c>
      <x:c r="E52" s="21" t="str">
        <x:v>Superstar</x:v>
      </x:c>
      <x:c r="F52" s="21" t="str">
        <x:v>White/Black, Black/White, Shell Toe Cream, Burgundy</x:v>
      </x:c>
      <x:c r="G52" s="21" t="str">
        <x:v>Hombre 39-44 / surtir 40-43</x:v>
      </x:c>
      <x:c r="H52" s="21" t="str">
        <x:v>Terrace, futbol y retro siguen fuertes; faciles para outfits.</x:v>
      </x:c>
      <x:c r="I52" s="21" t="str">
        <x:v>https://www.adidas.com/us/release-dates</x:v>
      </x:c>
      <x:c r="J52" s="21" t="str">
        <x:v>https://www.adidas.com/us/search?q=adidas%20Superstar</x:v>
      </x:c>
    </x:row>
    <x:row r="53" ht="43.5" customHeight="1">
      <x:c r="A53" s="21" t="str">
        <x:v>Prueba</x:v>
      </x:c>
      <x:c r="B53" s="21" t="str">
        <x:v>Hombre</x:v>
      </x:c>
      <x:c r="C53" s="21" t="str">
        <x:v>Adidas terrace / moda</x:v>
      </x:c>
      <x:c r="D53" s="21" t="str">
        <x:v>adidas</x:v>
      </x:c>
      <x:c r="E53" s="21" t="str">
        <x:v>Stan Smith</x:v>
      </x:c>
      <x:c r="F53" s="21" t="str">
        <x:v>White/Green, White/Navy, Cream/Gum, Black</x:v>
      </x:c>
      <x:c r="G53" s="21" t="str">
        <x:v>Hombre 39-44 / surtir 40-43</x:v>
      </x:c>
      <x:c r="H53" s="21" t="str">
        <x:v>Terrace, futbol y retro siguen fuertes; faciles para outfits.</x:v>
      </x:c>
      <x:c r="I53" s="21" t="str">
        <x:v>https://www.adidas.com/us/release-dates</x:v>
      </x:c>
      <x:c r="J53" s="21" t="str">
        <x:v>https://www.adidas.com/us/search?q=adidas%20Stan%20Smith</x:v>
      </x:c>
    </x:row>
    <x:row r="54" ht="43.5" customHeight="1">
      <x:c r="A54" s="21" t="str">
        <x:v>Media</x:v>
      </x:c>
      <x:c r="B54" s="21" t="str">
        <x:v>Hombre</x:v>
      </x:c>
      <x:c r="C54" s="21" t="str">
        <x:v>Adidas terrace / moda</x:v>
      </x:c>
      <x:c r="D54" s="21" t="str">
        <x:v>adidas</x:v>
      </x:c>
      <x:c r="E54" s="21" t="str">
        <x:v>Adistar XLG 2.0</x:v>
      </x:c>
      <x:c r="F54" s="21" t="str">
        <x:v>Silver/Grey, White/Black, Cream, Blue, Black</x:v>
      </x:c>
      <x:c r="G54" s="21" t="str">
        <x:v>Hombre 39-44 / surtir 40-43</x:v>
      </x:c>
      <x:c r="H54" s="21" t="str">
        <x:v>Terrace, futbol y retro siguen fuertes; faciles para outfits.</x:v>
      </x:c>
      <x:c r="I54" s="21" t="str">
        <x:v>https://www.adidas.com/us/release-dates</x:v>
      </x:c>
      <x:c r="J54" s="21" t="str">
        <x:v>https://www.adidas.com/us/search?q=adidas%20Adistar%20XLG%202.0</x:v>
      </x:c>
    </x:row>
    <x:row r="55" ht="43.5" customHeight="1">
      <x:c r="A55" s="21" t="str">
        <x:v>Alta</x:v>
      </x:c>
      <x:c r="B55" s="21" t="str">
        <x:v>Hombre</x:v>
      </x:c>
      <x:c r="C55" s="21" t="str">
        <x:v>Adidas terrace / moda</x:v>
      </x:c>
      <x:c r="D55" s="21" t="str">
        <x:v>adidas</x:v>
      </x:c>
      <x:c r="E55" s="21" t="str">
        <x:v>Adizero EVO SL</x:v>
      </x:c>
      <x:c r="F55" s="21" t="str">
        <x:v>Cloud White, Core Black, Silver Metallic, Solar Red</x:v>
      </x:c>
      <x:c r="G55" s="21" t="str">
        <x:v>Hombre 39-44 / surtir 40-43</x:v>
      </x:c>
      <x:c r="H55" s="21" t="str">
        <x:v>Terrace, futbol y retro siguen fuertes; faciles para outfits.</x:v>
      </x:c>
      <x:c r="I55" s="21" t="str">
        <x:v>https://www.adidas.com/us/release-dates</x:v>
      </x:c>
      <x:c r="J55" s="21" t="str">
        <x:v>https://www.adidas.com/us/search?q=adidas%20Adizero%20EVO%20SL</x:v>
      </x:c>
    </x:row>
    <x:row r="56" ht="43.5" customHeight="1">
      <x:c r="A56" s="21" t="str">
        <x:v>Media</x:v>
      </x:c>
      <x:c r="B56" s="21" t="str">
        <x:v>Hombre</x:v>
      </x:c>
      <x:c r="C56" s="21" t="str">
        <x:v>Adidas terrace / moda</x:v>
      </x:c>
      <x:c r="D56" s="21" t="str">
        <x:v>adidas</x:v>
      </x:c>
      <x:c r="E56" s="21" t="str">
        <x:v>Boston 12/13</x:v>
      </x:c>
      <x:c r="F56" s="21" t="str">
        <x:v>Core Black, White, Silver, Lucent Blue, Solar Orange</x:v>
      </x:c>
      <x:c r="G56" s="21" t="str">
        <x:v>Hombre 39-44 / surtir 40-43</x:v>
      </x:c>
      <x:c r="H56" s="21" t="str">
        <x:v>Terrace, futbol y retro siguen fuertes; faciles para outfits.</x:v>
      </x:c>
      <x:c r="I56" s="21" t="str">
        <x:v>https://www.adidas.com/us/release-dates</x:v>
      </x:c>
      <x:c r="J56" s="21" t="str">
        <x:v>https://www.adidas.com/us/search?q=adidas%20Boston%2012%2F13</x:v>
      </x:c>
    </x:row>
    <x:row r="57" ht="43.5" customHeight="1">
      <x:c r="A57" s="21" t="str">
        <x:v>Media</x:v>
      </x:c>
      <x:c r="B57" s="21" t="str">
        <x:v>Hombre</x:v>
      </x:c>
      <x:c r="C57" s="21" t="str">
        <x:v>Adidas terrace / moda</x:v>
      </x:c>
      <x:c r="D57" s="21" t="str">
        <x:v>adidas</x:v>
      </x:c>
      <x:c r="E57" s="21" t="str">
        <x:v>Adios Pro 4</x:v>
      </x:c>
      <x:c r="F57" s="21" t="str">
        <x:v>White/Black, Solar Red, Silver, Black/Green</x:v>
      </x:c>
      <x:c r="G57" s="21" t="str">
        <x:v>Hombre 39-44 / surtir 40-43</x:v>
      </x:c>
      <x:c r="H57" s="21" t="str">
        <x:v>Terrace, futbol y retro siguen fuertes; faciles para outfits.</x:v>
      </x:c>
      <x:c r="I57" s="21" t="str">
        <x:v>https://www.adidas.com/us/release-dates</x:v>
      </x:c>
      <x:c r="J57" s="21" t="str">
        <x:v>https://www.adidas.com/us/search?q=adidas%20Adios%20Pro%204</x:v>
      </x:c>
    </x:row>
    <x:row r="58" ht="43.5" customHeight="1">
      <x:c r="A58" s="21" t="str">
        <x:v>Alta</x:v>
      </x:c>
      <x:c r="B58" s="21" t="str">
        <x:v>Hombre</x:v>
      </x:c>
      <x:c r="C58" s="21" t="str">
        <x:v>Adidas terrace / moda</x:v>
      </x:c>
      <x:c r="D58" s="21" t="str">
        <x:v>adidas</x:v>
      </x:c>
      <x:c r="E58" s="21" t="str">
        <x:v>Bad Bunny BadBo 1.0</x:v>
      </x:c>
      <x:c r="F58" s="21" t="str">
        <x:v>Resilience brown, Black, Cream, Blue, Maroon</x:v>
      </x:c>
      <x:c r="G58" s="21" t="str">
        <x:v>Hombre 39-44 / surtir 40-43</x:v>
      </x:c>
      <x:c r="H58" s="21" t="str">
        <x:v>Terrace, futbol y retro siguen fuertes; faciles para outfits.</x:v>
      </x:c>
      <x:c r="I58" s="21" t="str">
        <x:v>https://www.adidas.com/us/release-dates</x:v>
      </x:c>
      <x:c r="J58" s="21" t="str">
        <x:v>https://www.adidas.com/us/search?q=adidas%20Bad%20Bunny%20BadBo%201.0</x:v>
      </x:c>
    </x:row>
    <x:row r="59" ht="43.5" customHeight="1">
      <x:c r="A59" s="21" t="str">
        <x:v>Alta</x:v>
      </x:c>
      <x:c r="B59" s="21" t="str">
        <x:v>Hombre</x:v>
      </x:c>
      <x:c r="C59" s="21" t="str">
        <x:v>Adidas terrace / moda</x:v>
      </x:c>
      <x:c r="D59" s="21" t="str">
        <x:v>adidas</x:v>
      </x:c>
      <x:c r="E59" s="21" t="str">
        <x:v>Anthony Edwards AE 1</x:v>
      </x:c>
      <x:c r="F59" s="21" t="str">
        <x:v>MX Charcoal, New Wave, All-Star, Black/White</x:v>
      </x:c>
      <x:c r="G59" s="21" t="str">
        <x:v>Hombre 39-44 / surtir 40-43</x:v>
      </x:c>
      <x:c r="H59" s="21" t="str">
        <x:v>Terrace, futbol y retro siguen fuertes; faciles para outfits.</x:v>
      </x:c>
      <x:c r="I59" s="21" t="str">
        <x:v>https://www.adidas.com/us/release-dates</x:v>
      </x:c>
      <x:c r="J59" s="21" t="str">
        <x:v>https://www.adidas.com/us/search?q=adidas%20Anthony%20Edwards%20AE%201</x:v>
      </x:c>
    </x:row>
    <x:row r="60" ht="43.5" customHeight="1">
      <x:c r="A60" s="21" t="str">
        <x:v>Alta</x:v>
      </x:c>
      <x:c r="B60" s="21" t="str">
        <x:v>Hombre</x:v>
      </x:c>
      <x:c r="C60" s="21" t="str">
        <x:v>Adidas terrace / moda</x:v>
      </x:c>
      <x:c r="D60" s="21" t="str">
        <x:v>adidas</x:v>
      </x:c>
      <x:c r="E60" s="21" t="str">
        <x:v>Anthony Edwards AE 2</x:v>
      </x:c>
      <x:c r="F60" s="21" t="str">
        <x:v>Multicolor, Black/White, Orange, Blue, Silver</x:v>
      </x:c>
      <x:c r="G60" s="21" t="str">
        <x:v>Hombre 39-44 / surtir 40-43</x:v>
      </x:c>
      <x:c r="H60" s="21" t="str">
        <x:v>Terrace, futbol y retro siguen fuertes; faciles para outfits.</x:v>
      </x:c>
      <x:c r="I60" s="21" t="str">
        <x:v>https://www.adidas.com/us/release-dates</x:v>
      </x:c>
      <x:c r="J60" s="21" t="str">
        <x:v>https://www.adidas.com/us/search?q=adidas%20Anthony%20Edwards%20AE%202</x:v>
      </x:c>
    </x:row>
    <x:row r="61" ht="43.5" customHeight="1">
      <x:c r="A61" s="21" t="str">
        <x:v>Media</x:v>
      </x:c>
      <x:c r="B61" s="21" t="str">
        <x:v>Hombre</x:v>
      </x:c>
      <x:c r="C61" s="21" t="str">
        <x:v>Adidas terrace / moda</x:v>
      </x:c>
      <x:c r="D61" s="21" t="str">
        <x:v>adidas</x:v>
      </x:c>
      <x:c r="E61" s="21" t="str">
        <x:v>Harden Vol. 9/10</x:v>
      </x:c>
      <x:c r="F61" s="21" t="str">
        <x:v>Black/Red, Silver/Black, White/Black, Pink, Blue</x:v>
      </x:c>
      <x:c r="G61" s="21" t="str">
        <x:v>Hombre 39-44 / surtir 40-43</x:v>
      </x:c>
      <x:c r="H61" s="21" t="str">
        <x:v>Terrace, futbol y retro siguen fuertes; faciles para outfits.</x:v>
      </x:c>
      <x:c r="I61" s="21" t="str">
        <x:v>https://www.adidas.com/us/release-dates</x:v>
      </x:c>
      <x:c r="J61" s="21" t="str">
        <x:v>https://www.adidas.com/us/search?q=adidas%20Harden%20Vol.%209%2F10</x:v>
      </x:c>
    </x:row>
    <x:row r="62" ht="43.5" customHeight="1">
      <x:c r="A62" s="21" t="str">
        <x:v>Prueba</x:v>
      </x:c>
      <x:c r="B62" s="21" t="str">
        <x:v>Hombre</x:v>
      </x:c>
      <x:c r="C62" s="21" t="str">
        <x:v>Adidas terrace / moda</x:v>
      </x:c>
      <x:c r="D62" s="21" t="str">
        <x:v>adidas</x:v>
      </x:c>
      <x:c r="E62" s="21" t="str">
        <x:v>Dame 9/10</x:v>
      </x:c>
      <x:c r="F62" s="21" t="str">
        <x:v>Black/Red, Blue/Orange, White/Black, Purple</x:v>
      </x:c>
      <x:c r="G62" s="21" t="str">
        <x:v>Hombre 39-44 / surtir 40-43</x:v>
      </x:c>
      <x:c r="H62" s="21" t="str">
        <x:v>Terrace, futbol y retro siguen fuertes; faciles para outfits.</x:v>
      </x:c>
      <x:c r="I62" s="21" t="str">
        <x:v>https://www.adidas.com/us/release-dates</x:v>
      </x:c>
      <x:c r="J62" s="21" t="str">
        <x:v>https://www.adidas.com/us/search?q=adidas%20Dame%209%2F10</x:v>
      </x:c>
    </x:row>
    <x:row r="63" ht="43.5" customHeight="1">
      <x:c r="A63" s="21" t="str">
        <x:v>Alta</x:v>
      </x:c>
      <x:c r="B63" s="21" t="str">
        <x:v>Hombre</x:v>
      </x:c>
      <x:c r="C63" s="21" t="str">
        <x:v>New Balance / ASICS runner</x:v>
      </x:c>
      <x:c r="D63" s="21" t="str">
        <x:v>New Balance</x:v>
      </x:c>
      <x:c r="E63" s="21" t="str">
        <x:v>New Balance 530</x:v>
      </x:c>
      <x:c r="F63" s="21" t="str">
        <x:v>White/Silver, White/Navy, Grey, Sea Salt, Beige</x:v>
      </x:c>
      <x:c r="G63" s="21" t="str">
        <x:v>Hombre 39-44 / surtir 40-43</x:v>
      </x:c>
      <x:c r="H63" s="21" t="str">
        <x:v>Y2K runner y dad-shoe siguen vendiendo en moda calle.</x:v>
      </x:c>
      <x:c r="I63" s="21" t="str">
        <x:v>https://stockx.com/about/sx-market-insights/big-facts-current-culture-index-2026/</x:v>
      </x:c>
      <x:c r="J63" s="21" t="str">
        <x:v>https://www.newbalance.com/search?q=New%20Balance%20New%20Balance%20530</x:v>
      </x:c>
    </x:row>
    <x:row r="64" ht="43.5" customHeight="1">
      <x:c r="A64" s="21" t="str">
        <x:v>Alta</x:v>
      </x:c>
      <x:c r="B64" s="21" t="str">
        <x:v>Hombre</x:v>
      </x:c>
      <x:c r="C64" s="21" t="str">
        <x:v>New Balance / ASICS runner</x:v>
      </x:c>
      <x:c r="D64" s="21" t="str">
        <x:v>New Balance</x:v>
      </x:c>
      <x:c r="E64" s="21" t="str">
        <x:v>New Balance 9060</x:v>
      </x:c>
      <x:c r="F64" s="21" t="str">
        <x:v>Grey, Sea Salt, Black, Rain Cloud, Moonbeam</x:v>
      </x:c>
      <x:c r="G64" s="21" t="str">
        <x:v>Hombre 39-44 / surtir 40-43</x:v>
      </x:c>
      <x:c r="H64" s="21" t="str">
        <x:v>Y2K runner y dad-shoe siguen vendiendo en moda calle.</x:v>
      </x:c>
      <x:c r="I64" s="21" t="str">
        <x:v>https://stockx.com/about/sx-market-insights/big-facts-current-culture-index-2026/</x:v>
      </x:c>
      <x:c r="J64" s="21" t="str">
        <x:v>https://www.newbalance.com/search?q=New%20Balance%20New%20Balance%209060</x:v>
      </x:c>
    </x:row>
    <x:row r="65" ht="43.5" customHeight="1">
      <x:c r="A65" s="21" t="str">
        <x:v>Alta</x:v>
      </x:c>
      <x:c r="B65" s="21" t="str">
        <x:v>Hombre</x:v>
      </x:c>
      <x:c r="C65" s="21" t="str">
        <x:v>New Balance / ASICS runner</x:v>
      </x:c>
      <x:c r="D65" s="21" t="str">
        <x:v>New Balance</x:v>
      </x:c>
      <x:c r="E65" s="21" t="str">
        <x:v>New Balance 1906R</x:v>
      </x:c>
      <x:c r="F65" s="21" t="str">
        <x:v>Silver Metallic, Protection Pack, Black, Navy, Rose</x:v>
      </x:c>
      <x:c r="G65" s="21" t="str">
        <x:v>Hombre 39-44 / surtir 40-43</x:v>
      </x:c>
      <x:c r="H65" s="21" t="str">
        <x:v>Y2K runner y dad-shoe siguen vendiendo en moda calle.</x:v>
      </x:c>
      <x:c r="I65" s="21" t="str">
        <x:v>https://stockx.com/about/sx-market-insights/big-facts-current-culture-index-2026/</x:v>
      </x:c>
      <x:c r="J65" s="21" t="str">
        <x:v>https://www.newbalance.com/search?q=New%20Balance%20New%20Balance%201906R</x:v>
      </x:c>
    </x:row>
    <x:row r="66" ht="43.5" customHeight="1">
      <x:c r="A66" s="21" t="str">
        <x:v>Media</x:v>
      </x:c>
      <x:c r="B66" s="21" t="str">
        <x:v>Hombre</x:v>
      </x:c>
      <x:c r="C66" s="21" t="str">
        <x:v>New Balance / ASICS runner</x:v>
      </x:c>
      <x:c r="D66" s="21" t="str">
        <x:v>New Balance</x:v>
      </x:c>
      <x:c r="E66" s="21" t="str">
        <x:v>New Balance 2002R</x:v>
      </x:c>
      <x:c r="F66" s="21" t="str">
        <x:v>Rain Cloud, Protection Pack, Grey, Black, Navy</x:v>
      </x:c>
      <x:c r="G66" s="21" t="str">
        <x:v>Hombre 39-44 / surtir 40-43</x:v>
      </x:c>
      <x:c r="H66" s="21" t="str">
        <x:v>Y2K runner y dad-shoe siguen vendiendo en moda calle.</x:v>
      </x:c>
      <x:c r="I66" s="21" t="str">
        <x:v>https://stockx.com/about/sx-market-insights/big-facts-current-culture-index-2026/</x:v>
      </x:c>
      <x:c r="J66" s="21" t="str">
        <x:v>https://www.newbalance.com/search?q=New%20Balance%20New%20Balance%202002R</x:v>
      </x:c>
    </x:row>
    <x:row r="67" ht="43.5" customHeight="1">
      <x:c r="A67" s="21" t="str">
        <x:v>Media</x:v>
      </x:c>
      <x:c r="B67" s="21" t="str">
        <x:v>Hombre</x:v>
      </x:c>
      <x:c r="C67" s="21" t="str">
        <x:v>New Balance / ASICS runner</x:v>
      </x:c>
      <x:c r="D67" s="21" t="str">
        <x:v>New Balance</x:v>
      </x:c>
      <x:c r="E67" s="21" t="str">
        <x:v>New Balance 740</x:v>
      </x:c>
      <x:c r="F67" s="21" t="str">
        <x:v>White/Blue, White/Green, Silver, Black, Yellow</x:v>
      </x:c>
      <x:c r="G67" s="21" t="str">
        <x:v>Hombre 39-44 / surtir 40-43</x:v>
      </x:c>
      <x:c r="H67" s="21" t="str">
        <x:v>Y2K runner y dad-shoe siguen vendiendo en moda calle.</x:v>
      </x:c>
      <x:c r="I67" s="21" t="str">
        <x:v>https://stockx.com/about/sx-market-insights/big-facts-current-culture-index-2026/</x:v>
      </x:c>
      <x:c r="J67" s="21" t="str">
        <x:v>https://www.newbalance.com/search?q=New%20Balance%20New%20Balance%20740</x:v>
      </x:c>
    </x:row>
    <x:row r="68" ht="43.5" customHeight="1">
      <x:c r="A68" s="21" t="str">
        <x:v>Media</x:v>
      </x:c>
      <x:c r="B68" s="21" t="str">
        <x:v>Hombre</x:v>
      </x:c>
      <x:c r="C68" s="21" t="str">
        <x:v>New Balance / ASICS runner</x:v>
      </x:c>
      <x:c r="D68" s="21" t="str">
        <x:v>New Balance</x:v>
      </x:c>
      <x:c r="E68" s="21" t="str">
        <x:v>New Balance 1000</x:v>
      </x:c>
      <x:c r="F68" s="21" t="str">
        <x:v>Silver/Black, Black, Grey, White/Blue, Cream</x:v>
      </x:c>
      <x:c r="G68" s="21" t="str">
        <x:v>Hombre 39-44 / surtir 40-43</x:v>
      </x:c>
      <x:c r="H68" s="21" t="str">
        <x:v>Y2K runner y dad-shoe siguen vendiendo en moda calle.</x:v>
      </x:c>
      <x:c r="I68" s="21" t="str">
        <x:v>https://stockx.com/about/sx-market-insights/big-facts-current-culture-index-2026/</x:v>
      </x:c>
      <x:c r="J68" s="21" t="str">
        <x:v>https://www.newbalance.com/search?q=New%20Balance%20New%20Balance%201000</x:v>
      </x:c>
    </x:row>
    <x:row r="69" ht="43.5" customHeight="1">
      <x:c r="A69" s="21" t="str">
        <x:v>Media</x:v>
      </x:c>
      <x:c r="B69" s="21" t="str">
        <x:v>Hombre</x:v>
      </x:c>
      <x:c r="C69" s="21" t="str">
        <x:v>New Balance / ASICS runner</x:v>
      </x:c>
      <x:c r="D69" s="21" t="str">
        <x:v>New Balance</x:v>
      </x:c>
      <x:c r="E69" s="21" t="str">
        <x:v>New Balance 990v4/v6</x:v>
      </x:c>
      <x:c r="F69" s="21" t="str">
        <x:v>Grey, Navy, Black, Cream, Olive</x:v>
      </x:c>
      <x:c r="G69" s="21" t="str">
        <x:v>Hombre 39-44 / surtir 40-43</x:v>
      </x:c>
      <x:c r="H69" s="21" t="str">
        <x:v>Y2K runner y dad-shoe siguen vendiendo en moda calle.</x:v>
      </x:c>
      <x:c r="I69" s="21" t="str">
        <x:v>https://stockx.com/about/sx-market-insights/big-facts-current-culture-index-2026/</x:v>
      </x:c>
      <x:c r="J69" s="21" t="str">
        <x:v>https://www.newbalance.com/search?q=New%20Balance%20New%20Balance%20990v4%2Fv6</x:v>
      </x:c>
    </x:row>
    <x:row r="70" ht="43.5" customHeight="1">
      <x:c r="A70" s="21" t="str">
        <x:v>Prueba</x:v>
      </x:c>
      <x:c r="B70" s="21" t="str">
        <x:v>Hombre</x:v>
      </x:c>
      <x:c r="C70" s="21" t="str">
        <x:v>New Balance / ASICS runner</x:v>
      </x:c>
      <x:c r="D70" s="21" t="str">
        <x:v>New Balance</x:v>
      </x:c>
      <x:c r="E70" s="21" t="str">
        <x:v>New Balance 991v2</x:v>
      </x:c>
      <x:c r="F70" s="21" t="str">
        <x:v>Grey, Blue, Black, Brown, Silver</x:v>
      </x:c>
      <x:c r="G70" s="21" t="str">
        <x:v>Hombre 39-44 / surtir 40-43</x:v>
      </x:c>
      <x:c r="H70" s="21" t="str">
        <x:v>Y2K runner y dad-shoe siguen vendiendo en moda calle.</x:v>
      </x:c>
      <x:c r="I70" s="21" t="str">
        <x:v>https://stockx.com/about/sx-market-insights/big-facts-current-culture-index-2026/</x:v>
      </x:c>
      <x:c r="J70" s="21" t="str">
        <x:v>https://www.newbalance.com/search?q=New%20Balance%20New%20Balance%20991v2</x:v>
      </x:c>
    </x:row>
    <x:row r="71" ht="43.5" customHeight="1">
      <x:c r="A71" s="21" t="str">
        <x:v>Media</x:v>
      </x:c>
      <x:c r="B71" s="21" t="str">
        <x:v>Hombre</x:v>
      </x:c>
      <x:c r="C71" s="21" t="str">
        <x:v>New Balance / ASICS runner</x:v>
      </x:c>
      <x:c r="D71" s="21" t="str">
        <x:v>New Balance</x:v>
      </x:c>
      <x:c r="E71" s="21" t="str">
        <x:v>New Balance 992</x:v>
      </x:c>
      <x:c r="F71" s="21" t="str">
        <x:v>Grey, Navy, Black, Cream, Green</x:v>
      </x:c>
      <x:c r="G71" s="21" t="str">
        <x:v>Hombre 39-44 / surtir 40-43</x:v>
      </x:c>
      <x:c r="H71" s="21" t="str">
        <x:v>Y2K runner y dad-shoe siguen vendiendo en moda calle.</x:v>
      </x:c>
      <x:c r="I71" s="21" t="str">
        <x:v>https://stockx.com/about/sx-market-insights/big-facts-current-culture-index-2026/</x:v>
      </x:c>
      <x:c r="J71" s="21" t="str">
        <x:v>https://www.newbalance.com/search?q=New%20Balance%20New%20Balance%20992</x:v>
      </x:c>
    </x:row>
    <x:row r="72" ht="43.5" customHeight="1">
      <x:c r="A72" s="21" t="str">
        <x:v>Media</x:v>
      </x:c>
      <x:c r="B72" s="21" t="str">
        <x:v>Hombre</x:v>
      </x:c>
      <x:c r="C72" s="21" t="str">
        <x:v>New Balance / ASICS runner</x:v>
      </x:c>
      <x:c r="D72" s="21" t="str">
        <x:v>New Balance</x:v>
      </x:c>
      <x:c r="E72" s="21" t="str">
        <x:v>New Balance 550</x:v>
      </x:c>
      <x:c r="F72" s="21" t="str">
        <x:v>White/Green, White/Red, Navy, Cream, Black</x:v>
      </x:c>
      <x:c r="G72" s="21" t="str">
        <x:v>Hombre 39-44 / surtir 40-43</x:v>
      </x:c>
      <x:c r="H72" s="21" t="str">
        <x:v>Y2K runner y dad-shoe siguen vendiendo en moda calle.</x:v>
      </x:c>
      <x:c r="I72" s="21" t="str">
        <x:v>https://stockx.com/about/sx-market-insights/big-facts-current-culture-index-2026/</x:v>
      </x:c>
      <x:c r="J72" s="21" t="str">
        <x:v>https://www.newbalance.com/search?q=New%20Balance%20New%20Balance%20550</x:v>
      </x:c>
    </x:row>
    <x:row r="73" ht="43.5" customHeight="1">
      <x:c r="A73" s="21" t="str">
        <x:v>Media</x:v>
      </x:c>
      <x:c r="B73" s="21" t="str">
        <x:v>Hombre</x:v>
      </x:c>
      <x:c r="C73" s="21" t="str">
        <x:v>New Balance / ASICS runner</x:v>
      </x:c>
      <x:c r="D73" s="21" t="str">
        <x:v>New Balance</x:v>
      </x:c>
      <x:c r="E73" s="21" t="str">
        <x:v>New Balance 327</x:v>
      </x:c>
      <x:c r="F73" s="21" t="str">
        <x:v>White/Black, Navy, Green, Animal Print, Pink</x:v>
      </x:c>
      <x:c r="G73" s="21" t="str">
        <x:v>Hombre 39-44 / surtir 40-43</x:v>
      </x:c>
      <x:c r="H73" s="21" t="str">
        <x:v>Y2K runner y dad-shoe siguen vendiendo en moda calle.</x:v>
      </x:c>
      <x:c r="I73" s="21" t="str">
        <x:v>https://stockx.com/about/sx-market-insights/big-facts-current-culture-index-2026/</x:v>
      </x:c>
      <x:c r="J73" s="21" t="str">
        <x:v>https://www.newbalance.com/search?q=New%20Balance%20New%20Balance%20327</x:v>
      </x:c>
    </x:row>
    <x:row r="74" ht="43.5" customHeight="1">
      <x:c r="A74" s="21" t="str">
        <x:v>Prueba</x:v>
      </x:c>
      <x:c r="B74" s="21" t="str">
        <x:v>Hombre</x:v>
      </x:c>
      <x:c r="C74" s="21" t="str">
        <x:v>New Balance / ASICS runner</x:v>
      </x:c>
      <x:c r="D74" s="21" t="str">
        <x:v>New Balance</x:v>
      </x:c>
      <x:c r="E74" s="21" t="str">
        <x:v>New Balance 574</x:v>
      </x:c>
      <x:c r="F74" s="21" t="str">
        <x:v>Grey, Navy, Black, Burgundy, Green</x:v>
      </x:c>
      <x:c r="G74" s="21" t="str">
        <x:v>Hombre 39-44 / surtir 40-43</x:v>
      </x:c>
      <x:c r="H74" s="21" t="str">
        <x:v>Y2K runner y dad-shoe siguen vendiendo en moda calle.</x:v>
      </x:c>
      <x:c r="I74" s="21" t="str">
        <x:v>https://stockx.com/about/sx-market-insights/big-facts-current-culture-index-2026/</x:v>
      </x:c>
      <x:c r="J74" s="21" t="str">
        <x:v>https://www.newbalance.com/search?q=New%20Balance%20New%20Balance%20574</x:v>
      </x:c>
    </x:row>
    <x:row r="75" ht="43.5" customHeight="1">
      <x:c r="A75" s="21" t="str">
        <x:v>Alta</x:v>
      </x:c>
      <x:c r="B75" s="21" t="str">
        <x:v>Hombre</x:v>
      </x:c>
      <x:c r="C75" s="21" t="str">
        <x:v>New Balance / ASICS runner</x:v>
      </x:c>
      <x:c r="D75" s="21" t="str">
        <x:v>New Balance</x:v>
      </x:c>
      <x:c r="E75" s="21" t="str">
        <x:v>New Balance 204L</x:v>
      </x:c>
      <x:c r="F75" s="21" t="str">
        <x:v>White/Oxford Blue, White/Grey, Pink, Black, Driftwood</x:v>
      </x:c>
      <x:c r="G75" s="21" t="str">
        <x:v>Hombre 39-44 / surtir 40-43</x:v>
      </x:c>
      <x:c r="H75" s="21" t="str">
        <x:v>Y2K runner y dad-shoe siguen vendiendo en moda calle.</x:v>
      </x:c>
      <x:c r="I75" s="21" t="str">
        <x:v>https://stockx.com/about/sx-market-insights/big-facts-current-culture-index-2026/</x:v>
      </x:c>
      <x:c r="J75" s="21" t="str">
        <x:v>https://www.newbalance.com/search?q=New%20Balance%20New%20Balance%20204L</x:v>
      </x:c>
    </x:row>
    <x:row r="76" ht="43.5" customHeight="1">
      <x:c r="A76" s="21" t="str">
        <x:v>Prueba</x:v>
      </x:c>
      <x:c r="B76" s="21" t="str">
        <x:v>Hombre</x:v>
      </x:c>
      <x:c r="C76" s="21" t="str">
        <x:v>New Balance / ASICS runner</x:v>
      </x:c>
      <x:c r="D76" s="21" t="str">
        <x:v>New Balance</x:v>
      </x:c>
      <x:c r="E76" s="21" t="str">
        <x:v>New Balance 2010</x:v>
      </x:c>
      <x:c r="F76" s="21" t="str">
        <x:v>Raincloud, Black, Navy, Shell Pink, Turtledove</x:v>
      </x:c>
      <x:c r="G76" s="21" t="str">
        <x:v>Hombre 39-44 / surtir 40-43</x:v>
      </x:c>
      <x:c r="H76" s="21" t="str">
        <x:v>Y2K runner y dad-shoe siguen vendiendo en moda calle.</x:v>
      </x:c>
      <x:c r="I76" s="21" t="str">
        <x:v>https://stockx.com/about/sx-market-insights/big-facts-current-culture-index-2026/</x:v>
      </x:c>
      <x:c r="J76" s="21" t="str">
        <x:v>https://www.newbalance.com/search?q=New%20Balance%20New%20Balance%202010</x:v>
      </x:c>
    </x:row>
    <x:row r="77" ht="43.5" customHeight="1">
      <x:c r="A77" s="21" t="str">
        <x:v>Media</x:v>
      </x:c>
      <x:c r="B77" s="21" t="str">
        <x:v>Hombre</x:v>
      </x:c>
      <x:c r="C77" s="21" t="str">
        <x:v>New Balance / ASICS runner</x:v>
      </x:c>
      <x:c r="D77" s="21" t="str">
        <x:v>New Balance</x:v>
      </x:c>
      <x:c r="E77" s="21" t="str">
        <x:v>New Balance Coco CG2</x:v>
      </x:c>
      <x:c r="F77" s="21" t="str">
        <x:v>White/Green, Black, Pink, Blue, Cream</x:v>
      </x:c>
      <x:c r="G77" s="21" t="str">
        <x:v>Hombre 39-44 / surtir 40-43</x:v>
      </x:c>
      <x:c r="H77" s="21" t="str">
        <x:v>Y2K runner y dad-shoe siguen vendiendo en moda calle.</x:v>
      </x:c>
      <x:c r="I77" s="21" t="str">
        <x:v>https://stockx.com/about/sx-market-insights/big-facts-current-culture-index-2026/</x:v>
      </x:c>
      <x:c r="J77" s="21" t="str">
        <x:v>https://www.newbalance.com/search?q=New%20Balance%20New%20Balance%20Coco%20CG2</x:v>
      </x:c>
    </x:row>
    <x:row r="78" ht="43.5" customHeight="1">
      <x:c r="A78" s="21" t="str">
        <x:v>Alta</x:v>
      </x:c>
      <x:c r="B78" s="21" t="str">
        <x:v>Hombre</x:v>
      </x:c>
      <x:c r="C78" s="21" t="str">
        <x:v>New Balance / ASICS runner</x:v>
      </x:c>
      <x:c r="D78" s="21" t="str">
        <x:v>ASICS</x:v>
      </x:c>
      <x:c r="E78" s="21" t="str">
        <x:v>GEL-Kayano 14</x:v>
      </x:c>
      <x:c r="F78" s="21" t="str">
        <x:v>Cream/Black, Silver, White/Midnight, Birch, Green</x:v>
      </x:c>
      <x:c r="G78" s="21" t="str">
        <x:v>Hombre 39-44 / surtir 40-43</x:v>
      </x:c>
      <x:c r="H78" s="21" t="str">
        <x:v>ASICS esta fuerte por tech runner y comodidad.</x:v>
      </x:c>
      <x:c r="I78" s="21" t="str">
        <x:v>https://stockx.com/about/sx-market-insights/big-facts-current-culture-index-2026/</x:v>
      </x:c>
      <x:c r="J78" s="21" t="str">
        <x:v>https://www.asics.com/us/en-us/search/?q=ASICS%20GEL-Kayano%2014</x:v>
      </x:c>
    </x:row>
    <x:row r="79" ht="43.5" customHeight="1">
      <x:c r="A79" s="21" t="str">
        <x:v>Alta</x:v>
      </x:c>
      <x:c r="B79" s="21" t="str">
        <x:v>Hombre</x:v>
      </x:c>
      <x:c r="C79" s="21" t="str">
        <x:v>New Balance / ASICS runner</x:v>
      </x:c>
      <x:c r="D79" s="21" t="str">
        <x:v>ASICS</x:v>
      </x:c>
      <x:c r="E79" s="21" t="str">
        <x:v>GEL-1130</x:v>
      </x:c>
      <x:c r="F79" s="21" t="str">
        <x:v>White/Silver, Black, Clay Grey, Cream, Blue</x:v>
      </x:c>
      <x:c r="G79" s="21" t="str">
        <x:v>Hombre 39-44 / surtir 40-43</x:v>
      </x:c>
      <x:c r="H79" s="21" t="str">
        <x:v>ASICS esta fuerte por tech runner y comodidad.</x:v>
      </x:c>
      <x:c r="I79" s="21" t="str">
        <x:v>https://stockx.com/about/sx-market-insights/big-facts-current-culture-index-2026/</x:v>
      </x:c>
      <x:c r="J79" s="21" t="str">
        <x:v>https://www.asics.com/us/en-us/search/?q=ASICS%20GEL-1130</x:v>
      </x:c>
    </x:row>
    <x:row r="80" ht="43.5" customHeight="1">
      <x:c r="A80" s="21" t="str">
        <x:v>Alta</x:v>
      </x:c>
      <x:c r="B80" s="21" t="str">
        <x:v>Hombre</x:v>
      </x:c>
      <x:c r="C80" s="21" t="str">
        <x:v>New Balance / ASICS runner</x:v>
      </x:c>
      <x:c r="D80" s="21" t="str">
        <x:v>ASICS</x:v>
      </x:c>
      <x:c r="E80" s="21" t="str">
        <x:v>GEL-NYC</x:v>
      </x:c>
      <x:c r="F80" s="21" t="str">
        <x:v>Cream/Oyster, Black/Graphite, Grey, Blue, Green</x:v>
      </x:c>
      <x:c r="G80" s="21" t="str">
        <x:v>Hombre 39-44 / surtir 40-43</x:v>
      </x:c>
      <x:c r="H80" s="21" t="str">
        <x:v>ASICS esta fuerte por tech runner y comodidad.</x:v>
      </x:c>
      <x:c r="I80" s="21" t="str">
        <x:v>https://stockx.com/about/sx-market-insights/big-facts-current-culture-index-2026/</x:v>
      </x:c>
      <x:c r="J80" s="21" t="str">
        <x:v>https://www.asics.com/us/en-us/search/?q=ASICS%20GEL-NYC</x:v>
      </x:c>
    </x:row>
    <x:row r="81" ht="43.5" customHeight="1">
      <x:c r="A81" s="21" t="str">
        <x:v>Media</x:v>
      </x:c>
      <x:c r="B81" s="21" t="str">
        <x:v>Hombre</x:v>
      </x:c>
      <x:c r="C81" s="21" t="str">
        <x:v>New Balance / ASICS runner</x:v>
      </x:c>
      <x:c r="D81" s="21" t="str">
        <x:v>ASICS</x:v>
      </x:c>
      <x:c r="E81" s="21" t="str">
        <x:v>GT-2160</x:v>
      </x:c>
      <x:c r="F81" s="21" t="str">
        <x:v>White/Silver, Cream, Black, Blue, Red</x:v>
      </x:c>
      <x:c r="G81" s="21" t="str">
        <x:v>Hombre 39-44 / surtir 40-43</x:v>
      </x:c>
      <x:c r="H81" s="21" t="str">
        <x:v>ASICS esta fuerte por tech runner y comodidad.</x:v>
      </x:c>
      <x:c r="I81" s="21" t="str">
        <x:v>https://stockx.com/about/sx-market-insights/big-facts-current-culture-index-2026/</x:v>
      </x:c>
      <x:c r="J81" s="21" t="str">
        <x:v>https://www.asics.com/us/en-us/search/?q=ASICS%20GT-2160</x:v>
      </x:c>
    </x:row>
    <x:row r="82" ht="43.5" customHeight="1">
      <x:c r="A82" s="21" t="str">
        <x:v>Media</x:v>
      </x:c>
      <x:c r="B82" s="21" t="str">
        <x:v>Hombre</x:v>
      </x:c>
      <x:c r="C82" s="21" t="str">
        <x:v>New Balance / ASICS runner</x:v>
      </x:c>
      <x:c r="D82" s="21" t="str">
        <x:v>ASICS</x:v>
      </x:c>
      <x:c r="E82" s="21" t="str">
        <x:v>GEL-Quantum 360</x:v>
      </x:c>
      <x:c r="F82" s="21" t="str">
        <x:v>Black, Silver, White/Blue, Graphite, Neon</x:v>
      </x:c>
      <x:c r="G82" s="21" t="str">
        <x:v>Hombre 39-44 / surtir 40-43</x:v>
      </x:c>
      <x:c r="H82" s="21" t="str">
        <x:v>ASICS esta fuerte por tech runner y comodidad.</x:v>
      </x:c>
      <x:c r="I82" s="21" t="str">
        <x:v>https://stockx.com/about/sx-market-insights/big-facts-current-culture-index-2026/</x:v>
      </x:c>
      <x:c r="J82" s="21" t="str">
        <x:v>https://www.asics.com/us/en-us/search/?q=ASICS%20GEL-Quantum%20360</x:v>
      </x:c>
    </x:row>
    <x:row r="83" ht="43.5" customHeight="1">
      <x:c r="A83" s="21" t="str">
        <x:v>Media</x:v>
      </x:c>
      <x:c r="B83" s="21" t="str">
        <x:v>Hombre</x:v>
      </x:c>
      <x:c r="C83" s="21" t="str">
        <x:v>New Balance / ASICS runner</x:v>
      </x:c>
      <x:c r="D83" s="21" t="str">
        <x:v>ASICS</x:v>
      </x:c>
      <x:c r="E83" s="21" t="str">
        <x:v>GEL-Nimbus 10.1</x:v>
      </x:c>
      <x:c r="F83" s="21" t="str">
        <x:v>Silver, Cream, Black, Blue, Brown</x:v>
      </x:c>
      <x:c r="G83" s="21" t="str">
        <x:v>Hombre 39-44 / surtir 40-43</x:v>
      </x:c>
      <x:c r="H83" s="21" t="str">
        <x:v>ASICS esta fuerte por tech runner y comodidad.</x:v>
      </x:c>
      <x:c r="I83" s="21" t="str">
        <x:v>https://stockx.com/about/sx-market-insights/big-facts-current-culture-index-2026/</x:v>
      </x:c>
      <x:c r="J83" s="21" t="str">
        <x:v>https://www.asics.com/us/en-us/search/?q=ASICS%20GEL-Nimbus%2010.1</x:v>
      </x:c>
    </x:row>
    <x:row r="84" ht="43.5" customHeight="1">
      <x:c r="A84" s="21" t="str">
        <x:v>Prueba</x:v>
      </x:c>
      <x:c r="B84" s="21" t="str">
        <x:v>Hombre</x:v>
      </x:c>
      <x:c r="C84" s="21" t="str">
        <x:v>New Balance / ASICS runner</x:v>
      </x:c>
      <x:c r="D84" s="21" t="str">
        <x:v>ASICS</x:v>
      </x:c>
      <x:c r="E84" s="21" t="str">
        <x:v>GEL-Cumulus 16</x:v>
      </x:c>
      <x:c r="F84" s="21" t="str">
        <x:v>White/Silver, Black, Cream, Blue, Green</x:v>
      </x:c>
      <x:c r="G84" s="21" t="str">
        <x:v>Hombre 39-44 / surtir 40-43</x:v>
      </x:c>
      <x:c r="H84" s="21" t="str">
        <x:v>ASICS esta fuerte por tech runner y comodidad.</x:v>
      </x:c>
      <x:c r="I84" s="21" t="str">
        <x:v>https://stockx.com/about/sx-market-insights/big-facts-current-culture-index-2026/</x:v>
      </x:c>
      <x:c r="J84" s="21" t="str">
        <x:v>https://www.asics.com/us/en-us/search/?q=ASICS%20GEL-Cumulus%2016</x:v>
      </x:c>
    </x:row>
    <x:row r="85" ht="43.5" customHeight="1">
      <x:c r="A85" s="21" t="str">
        <x:v>Media</x:v>
      </x:c>
      <x:c r="B85" s="21" t="str">
        <x:v>Hombre</x:v>
      </x:c>
      <x:c r="C85" s="21" t="str">
        <x:v>New Balance / ASICS runner</x:v>
      </x:c>
      <x:c r="D85" s="21" t="str">
        <x:v>ASICS</x:v>
      </x:c>
      <x:c r="E85" s="21" t="str">
        <x:v>GEL-1120</x:v>
      </x:c>
      <x:c r="F85" s="21" t="str">
        <x:v>White/Silver, Black, Cream, Blue, Red</x:v>
      </x:c>
      <x:c r="G85" s="21" t="str">
        <x:v>Hombre 39-44 / surtir 40-43</x:v>
      </x:c>
      <x:c r="H85" s="21" t="str">
        <x:v>ASICS esta fuerte por tech runner y comodidad.</x:v>
      </x:c>
      <x:c r="I85" s="21" t="str">
        <x:v>https://stockx.com/about/sx-market-insights/big-facts-current-culture-index-2026/</x:v>
      </x:c>
      <x:c r="J85" s="21" t="str">
        <x:v>https://www.asics.com/us/en-us/search/?q=ASICS%20GEL-1120</x:v>
      </x:c>
    </x:row>
    <x:row r="86" ht="43.5" customHeight="1">
      <x:c r="A86" s="21" t="str">
        <x:v>Alta</x:v>
      </x:c>
      <x:c r="B86" s="21" t="str">
        <x:v>Hombre</x:v>
      </x:c>
      <x:c r="C86" s="21" t="str">
        <x:v>Outdoor / gorpcore</x:v>
      </x:c>
      <x:c r="D86" s="21" t="str">
        <x:v>On</x:v>
      </x:c>
      <x:c r="E86" s="21" t="str">
        <x:v>Cloudmonster 2</x:v>
      </x:c>
      <x:c r="F86" s="21" t="str">
        <x:v>All White, Black, Glacier, Cream, Navy</x:v>
      </x:c>
      <x:c r="G86" s="21" t="str">
        <x:v>Hombre 39-44 / surtir 40-43</x:v>
      </x:c>
      <x:c r="H86" s="21" t="str">
        <x:v>Runner tecnico y outdoor siguen como moda diaria.</x:v>
      </x:c>
      <x:c r="I86" s="21" t="str">
        <x:v>https://www.vogue.com/article/6-sneaker-trends-to-look-out-for-in-2025</x:v>
      </x:c>
      <x:c r="J86" s="21" t="str">
        <x:v>https://www.on.com/en-us/search?q=On%20Cloudmonster%202</x:v>
      </x:c>
    </x:row>
    <x:row r="87" ht="43.5" customHeight="1">
      <x:c r="A87" s="21" t="str">
        <x:v>Alta</x:v>
      </x:c>
      <x:c r="B87" s="21" t="str">
        <x:v>Hombre</x:v>
      </x:c>
      <x:c r="C87" s="21" t="str">
        <x:v>Outdoor / gorpcore</x:v>
      </x:c>
      <x:c r="D87" s="21" t="str">
        <x:v>On</x:v>
      </x:c>
      <x:c r="E87" s="21" t="str">
        <x:v>Cloudsurfer</x:v>
      </x:c>
      <x:c r="F87" s="21" t="str">
        <x:v>White/Black, Pearl/Ivory, Glacier Grey, Blue, Black</x:v>
      </x:c>
      <x:c r="G87" s="21" t="str">
        <x:v>Hombre 39-44 / surtir 40-43</x:v>
      </x:c>
      <x:c r="H87" s="21" t="str">
        <x:v>Runner tecnico y outdoor siguen como moda diaria.</x:v>
      </x:c>
      <x:c r="I87" s="21" t="str">
        <x:v>https://www.vogue.com/article/6-sneaker-trends-to-look-out-for-in-2025</x:v>
      </x:c>
      <x:c r="J87" s="21" t="str">
        <x:v>https://www.on.com/en-us/search?q=On%20Cloudsurfer</x:v>
      </x:c>
    </x:row>
    <x:row r="88" ht="43.5" customHeight="1">
      <x:c r="A88" s="21" t="str">
        <x:v>Alta</x:v>
      </x:c>
      <x:c r="B88" s="21" t="str">
        <x:v>Hombre</x:v>
      </x:c>
      <x:c r="C88" s="21" t="str">
        <x:v>Outdoor / gorpcore</x:v>
      </x:c>
      <x:c r="D88" s="21" t="str">
        <x:v>On</x:v>
      </x:c>
      <x:c r="E88" s="21" t="str">
        <x:v>Cloud 6</x:v>
      </x:c>
      <x:c r="F88" s="21" t="str">
        <x:v>Black/White, All White, Navy, Fog, Pearl</x:v>
      </x:c>
      <x:c r="G88" s="21" t="str">
        <x:v>Hombre 39-44 / surtir 40-43</x:v>
      </x:c>
      <x:c r="H88" s="21" t="str">
        <x:v>Runner tecnico y outdoor siguen como moda diaria.</x:v>
      </x:c>
      <x:c r="I88" s="21" t="str">
        <x:v>https://www.vogue.com/article/6-sneaker-trends-to-look-out-for-in-2025</x:v>
      </x:c>
      <x:c r="J88" s="21" t="str">
        <x:v>https://www.on.com/en-us/search?q=On%20Cloud%206</x:v>
      </x:c>
    </x:row>
    <x:row r="89" ht="43.5" customHeight="1">
      <x:c r="A89" s="21" t="str">
        <x:v>Media</x:v>
      </x:c>
      <x:c r="B89" s="21" t="str">
        <x:v>Hombre</x:v>
      </x:c>
      <x:c r="C89" s="21" t="str">
        <x:v>Outdoor / gorpcore</x:v>
      </x:c>
      <x:c r="D89" s="21" t="str">
        <x:v>On</x:v>
      </x:c>
      <x:c r="E89" s="21" t="str">
        <x:v>Cloudrunner 2</x:v>
      </x:c>
      <x:c r="F89" s="21" t="str">
        <x:v>Black, White, Glacier, Eclipse, Cream</x:v>
      </x:c>
      <x:c r="G89" s="21" t="str">
        <x:v>Hombre 39-44 / surtir 40-43</x:v>
      </x:c>
      <x:c r="H89" s="21" t="str">
        <x:v>Runner tecnico y outdoor siguen como moda diaria.</x:v>
      </x:c>
      <x:c r="I89" s="21" t="str">
        <x:v>https://www.vogue.com/article/6-sneaker-trends-to-look-out-for-in-2025</x:v>
      </x:c>
      <x:c r="J89" s="21" t="str">
        <x:v>https://www.on.com/en-us/search?q=On%20Cloudrunner%202</x:v>
      </x:c>
    </x:row>
    <x:row r="90" ht="43.5" customHeight="1">
      <x:c r="A90" s="21" t="str">
        <x:v>Alta</x:v>
      </x:c>
      <x:c r="B90" s="21" t="str">
        <x:v>Hombre</x:v>
      </x:c>
      <x:c r="C90" s="21" t="str">
        <x:v>Outdoor / gorpcore</x:v>
      </x:c>
      <x:c r="D90" s="21" t="str">
        <x:v>On</x:v>
      </x:c>
      <x:c r="E90" s="21" t="str">
        <x:v>Cloudtilt</x:v>
      </x:c>
      <x:c r="F90" s="21" t="str">
        <x:v>Loewe white, All Black, Grey, Sand, Green</x:v>
      </x:c>
      <x:c r="G90" s="21" t="str">
        <x:v>Hombre 39-44 / surtir 40-43</x:v>
      </x:c>
      <x:c r="H90" s="21" t="str">
        <x:v>Runner tecnico y outdoor siguen como moda diaria.</x:v>
      </x:c>
      <x:c r="I90" s="21" t="str">
        <x:v>https://www.vogue.com/article/6-sneaker-trends-to-look-out-for-in-2025</x:v>
      </x:c>
      <x:c r="J90" s="21" t="str">
        <x:v>https://www.on.com/en-us/search?q=On%20Cloudtilt</x:v>
      </x:c>
    </x:row>
    <x:row r="91" ht="43.5" customHeight="1">
      <x:c r="A91" s="21" t="str">
        <x:v>Media</x:v>
      </x:c>
      <x:c r="B91" s="21" t="str">
        <x:v>Hombre</x:v>
      </x:c>
      <x:c r="C91" s="21" t="str">
        <x:v>Outdoor / gorpcore</x:v>
      </x:c>
      <x:c r="D91" s="21" t="str">
        <x:v>On</x:v>
      </x:c>
      <x:c r="E91" s="21" t="str">
        <x:v>Cloudnova</x:v>
      </x:c>
      <x:c r="F91" s="21" t="str">
        <x:v>White/Black, Cream, Black, Denim, Silver</x:v>
      </x:c>
      <x:c r="G91" s="21" t="str">
        <x:v>Hombre 39-44 / surtir 40-43</x:v>
      </x:c>
      <x:c r="H91" s="21" t="str">
        <x:v>Runner tecnico y outdoor siguen como moda diaria.</x:v>
      </x:c>
      <x:c r="I91" s="21" t="str">
        <x:v>https://www.vogue.com/article/6-sneaker-trends-to-look-out-for-in-2025</x:v>
      </x:c>
      <x:c r="J91" s="21" t="str">
        <x:v>https://www.on.com/en-us/search?q=On%20Cloudnova</x:v>
      </x:c>
    </x:row>
    <x:row r="92" ht="43.5" customHeight="1">
      <x:c r="A92" s="21" t="str">
        <x:v>Media</x:v>
      </x:c>
      <x:c r="B92" s="21" t="str">
        <x:v>Hombre</x:v>
      </x:c>
      <x:c r="C92" s="21" t="str">
        <x:v>Outdoor / gorpcore</x:v>
      </x:c>
      <x:c r="D92" s="21" t="str">
        <x:v>On</x:v>
      </x:c>
      <x:c r="E92" s="21" t="str">
        <x:v>Cloud X 4</x:v>
      </x:c>
      <x:c r="F92" s="21" t="str">
        <x:v>Black/White, White, Silver, Blue, Lime</x:v>
      </x:c>
      <x:c r="G92" s="21" t="str">
        <x:v>Hombre 39-44 / surtir 40-43</x:v>
      </x:c>
      <x:c r="H92" s="21" t="str">
        <x:v>Runner tecnico y outdoor siguen como moda diaria.</x:v>
      </x:c>
      <x:c r="I92" s="21" t="str">
        <x:v>https://www.vogue.com/article/6-sneaker-trends-to-look-out-for-in-2025</x:v>
      </x:c>
      <x:c r="J92" s="21" t="str">
        <x:v>https://www.on.com/en-us/search?q=On%20Cloud%20X%204</x:v>
      </x:c>
    </x:row>
    <x:row r="93" ht="43.5" customHeight="1">
      <x:c r="A93" s="21" t="str">
        <x:v>Prueba</x:v>
      </x:c>
      <x:c r="B93" s="21" t="str">
        <x:v>Hombre</x:v>
      </x:c>
      <x:c r="C93" s="21" t="str">
        <x:v>Outdoor / gorpcore</x:v>
      </x:c>
      <x:c r="D93" s="21" t="str">
        <x:v>On</x:v>
      </x:c>
      <x:c r="E93" s="21" t="str">
        <x:v>Cloudswift</x:v>
      </x:c>
      <x:c r="F93" s="21" t="str">
        <x:v>All Black, White/Flame, Navy, Grey, Green</x:v>
      </x:c>
      <x:c r="G93" s="21" t="str">
        <x:v>Hombre 39-44 / surtir 40-43</x:v>
      </x:c>
      <x:c r="H93" s="21" t="str">
        <x:v>Runner tecnico y outdoor siguen como moda diaria.</x:v>
      </x:c>
      <x:c r="I93" s="21" t="str">
        <x:v>https://www.vogue.com/article/6-sneaker-trends-to-look-out-for-in-2025</x:v>
      </x:c>
      <x:c r="J93" s="21" t="str">
        <x:v>https://www.on.com/en-us/search?q=On%20Cloudswift</x:v>
      </x:c>
    </x:row>
    <x:row r="94" ht="43.5" customHeight="1">
      <x:c r="A94" s="21" t="str">
        <x:v>Media</x:v>
      </x:c>
      <x:c r="B94" s="21" t="str">
        <x:v>Hombre</x:v>
      </x:c>
      <x:c r="C94" s="21" t="str">
        <x:v>Outdoor / gorpcore</x:v>
      </x:c>
      <x:c r="D94" s="21" t="str">
        <x:v>HOKA</x:v>
      </x:c>
      <x:c r="E94" s="21" t="str">
        <x:v>Clifton 10</x:v>
      </x:c>
      <x:c r="F94" s="21" t="str">
        <x:v>Black/White, White, Grey, Blue, Orange</x:v>
      </x:c>
      <x:c r="G94" s="21" t="str">
        <x:v>Hombre 39-44 / surtir 40-43</x:v>
      </x:c>
      <x:c r="H94" s="21" t="str">
        <x:v>Comodidad maximalista; buen nicho adulto y runner.</x:v>
      </x:c>
      <x:c r="I94" s="21" t="str">
        <x:v>https://www.vogue.com/article/6-sneaker-trends-to-look-out-for-in-2025</x:v>
      </x:c>
      <x:c r="J94" s="21" t="str">
        <x:v>https://www.hoka.com/en/us/search?q=HOKA%20Clifton%2010</x:v>
      </x:c>
    </x:row>
    <x:row r="95" ht="43.5" customHeight="1">
      <x:c r="A95" s="21" t="str">
        <x:v>Media</x:v>
      </x:c>
      <x:c r="B95" s="21" t="str">
        <x:v>Hombre</x:v>
      </x:c>
      <x:c r="C95" s="21" t="str">
        <x:v>Outdoor / gorpcore</x:v>
      </x:c>
      <x:c r="D95" s="21" t="str">
        <x:v>HOKA</x:v>
      </x:c>
      <x:c r="E95" s="21" t="str">
        <x:v>Bondi 9</x:v>
      </x:c>
      <x:c r="F95" s="21" t="str">
        <x:v>All Black, White, Grey, Blue, Cream</x:v>
      </x:c>
      <x:c r="G95" s="21" t="str">
        <x:v>Hombre 39-44 / surtir 40-43</x:v>
      </x:c>
      <x:c r="H95" s="21" t="str">
        <x:v>Comodidad maximalista; buen nicho adulto y runner.</x:v>
      </x:c>
      <x:c r="I95" s="21" t="str">
        <x:v>https://www.vogue.com/article/6-sneaker-trends-to-look-out-for-in-2025</x:v>
      </x:c>
      <x:c r="J95" s="21" t="str">
        <x:v>https://www.hoka.com/en/us/search?q=HOKA%20Bondi%209</x:v>
      </x:c>
    </x:row>
    <x:row r="96" ht="43.5" customHeight="1">
      <x:c r="A96" s="21" t="str">
        <x:v>Alta</x:v>
      </x:c>
      <x:c r="B96" s="21" t="str">
        <x:v>Hombre</x:v>
      </x:c>
      <x:c r="C96" s="21" t="str">
        <x:v>Outdoor / gorpcore</x:v>
      </x:c>
      <x:c r="D96" s="21" t="str">
        <x:v>HOKA</x:v>
      </x:c>
      <x:c r="E96" s="21" t="str">
        <x:v>Mafate Speed 4</x:v>
      </x:c>
      <x:c r="F96" s="21" t="str">
        <x:v>Lunar Rock, Black, Cream, Orange, Blue</x:v>
      </x:c>
      <x:c r="G96" s="21" t="str">
        <x:v>Hombre 39-44 / surtir 40-43</x:v>
      </x:c>
      <x:c r="H96" s="21" t="str">
        <x:v>Comodidad maximalista; buen nicho adulto y runner.</x:v>
      </x:c>
      <x:c r="I96" s="21" t="str">
        <x:v>https://www.vogue.com/article/6-sneaker-trends-to-look-out-for-in-2025</x:v>
      </x:c>
      <x:c r="J96" s="21" t="str">
        <x:v>https://www.hoka.com/en/us/search?q=HOKA%20Mafate%20Speed%204</x:v>
      </x:c>
    </x:row>
    <x:row r="97" ht="43.5" customHeight="1">
      <x:c r="A97" s="21" t="str">
        <x:v>Media</x:v>
      </x:c>
      <x:c r="B97" s="21" t="str">
        <x:v>Hombre</x:v>
      </x:c>
      <x:c r="C97" s="21" t="str">
        <x:v>Outdoor / gorpcore</x:v>
      </x:c>
      <x:c r="D97" s="21" t="str">
        <x:v>HOKA</x:v>
      </x:c>
      <x:c r="E97" s="21" t="str">
        <x:v>Speedgoat 6</x:v>
      </x:c>
      <x:c r="F97" s="21" t="str">
        <x:v>Black/Orange, Blue, Green, Grey, Red</x:v>
      </x:c>
      <x:c r="G97" s="21" t="str">
        <x:v>Hombre 39-44 / surtir 40-43</x:v>
      </x:c>
      <x:c r="H97" s="21" t="str">
        <x:v>Comodidad maximalista; buen nicho adulto y runner.</x:v>
      </x:c>
      <x:c r="I97" s="21" t="str">
        <x:v>https://www.vogue.com/article/6-sneaker-trends-to-look-out-for-in-2025</x:v>
      </x:c>
      <x:c r="J97" s="21" t="str">
        <x:v>https://www.hoka.com/en/us/search?q=HOKA%20Speedgoat%206</x:v>
      </x:c>
    </x:row>
    <x:row r="98" ht="43.5" customHeight="1">
      <x:c r="A98" s="21" t="str">
        <x:v>Alta</x:v>
      </x:c>
      <x:c r="B98" s="21" t="str">
        <x:v>Hombre</x:v>
      </x:c>
      <x:c r="C98" s="21" t="str">
        <x:v>Outdoor / gorpcore</x:v>
      </x:c>
      <x:c r="D98" s="21" t="str">
        <x:v>HOKA</x:v>
      </x:c>
      <x:c r="E98" s="21" t="str">
        <x:v>Tor Ultra Lo</x:v>
      </x:c>
      <x:c r="F98" s="21" t="str">
        <x:v>Black, Olive, Sand, Brown, Grey</x:v>
      </x:c>
      <x:c r="G98" s="21" t="str">
        <x:v>Hombre 39-44 / surtir 40-43</x:v>
      </x:c>
      <x:c r="H98" s="21" t="str">
        <x:v>Comodidad maximalista; buen nicho adulto y runner.</x:v>
      </x:c>
      <x:c r="I98" s="21" t="str">
        <x:v>https://www.vogue.com/article/6-sneaker-trends-to-look-out-for-in-2025</x:v>
      </x:c>
      <x:c r="J98" s="21" t="str">
        <x:v>https://www.hoka.com/en/us/search?q=HOKA%20Tor%20Ultra%20Lo</x:v>
      </x:c>
    </x:row>
    <x:row r="99" ht="43.5" customHeight="1">
      <x:c r="A99" s="21" t="str">
        <x:v>Prueba</x:v>
      </x:c>
      <x:c r="B99" s="21" t="str">
        <x:v>Hombre</x:v>
      </x:c>
      <x:c r="C99" s="21" t="str">
        <x:v>Outdoor / gorpcore</x:v>
      </x:c>
      <x:c r="D99" s="21" t="str">
        <x:v>HOKA</x:v>
      </x:c>
      <x:c r="E99" s="21" t="str">
        <x:v>Hopara / Hopara 2</x:v>
      </x:c>
      <x:c r="F99" s="21" t="str">
        <x:v>Black, Olive, Sand, Cream, Blue</x:v>
      </x:c>
      <x:c r="G99" s="21" t="str">
        <x:v>Hombre 39-44 / surtir 40-43</x:v>
      </x:c>
      <x:c r="H99" s="21" t="str">
        <x:v>Comodidad maximalista; buen nicho adulto y runner.</x:v>
      </x:c>
      <x:c r="I99" s="21" t="str">
        <x:v>https://www.vogue.com/article/6-sneaker-trends-to-look-out-for-in-2025</x:v>
      </x:c>
      <x:c r="J99" s="21" t="str">
        <x:v>https://www.hoka.com/en/us/search?q=HOKA%20Hopara%20%2F%20Hopara%202</x:v>
      </x:c>
    </x:row>
    <x:row r="100" ht="43.5" customHeight="1">
      <x:c r="A100" s="21" t="str">
        <x:v>Alta</x:v>
      </x:c>
      <x:c r="B100" s="21" t="str">
        <x:v>Hombre</x:v>
      </x:c>
      <x:c r="C100" s="21" t="str">
        <x:v>Outdoor / gorpcore</x:v>
      </x:c>
      <x:c r="D100" s="21" t="str">
        <x:v>Salomon</x:v>
      </x:c>
      <x:c r="E100" s="21" t="str">
        <x:v>XT-6</x:v>
      </x:c>
      <x:c r="F100" s="21" t="str">
        <x:v>Black, White/Lunar Rock, Silver, Olive, Safari</x:v>
      </x:c>
      <x:c r="G100" s="21" t="str">
        <x:v>Hombre 39-44 / surtir 40-43</x:v>
      </x:c>
      <x:c r="H100" s="21" t="str">
        <x:v>Chunky outdoor y trail como sneaker de moda.</x:v>
      </x:c>
      <x:c r="I100" s="21" t="str">
        <x:v>https://www.vogue.com/article/6-sneaker-trends-to-look-out-for-in-2025</x:v>
      </x:c>
      <x:c r="J100" s="21" t="str">
        <x:v>https://www.salomon.com/en-us/search?text=Salomon%20XT-6</x:v>
      </x:c>
    </x:row>
    <x:row r="101" ht="43.5" customHeight="1">
      <x:c r="A101" s="21" t="str">
        <x:v>Alta</x:v>
      </x:c>
      <x:c r="B101" s="21" t="str">
        <x:v>Hombre</x:v>
      </x:c>
      <x:c r="C101" s="21" t="str">
        <x:v>Outdoor / gorpcore</x:v>
      </x:c>
      <x:c r="D101" s="21" t="str">
        <x:v>Salomon</x:v>
      </x:c>
      <x:c r="E101" s="21" t="str">
        <x:v>ACS Pro</x:v>
      </x:c>
      <x:c r="F101" s="21" t="str">
        <x:v>Black, Metal, White, Olive, Brown</x:v>
      </x:c>
      <x:c r="G101" s="21" t="str">
        <x:v>Hombre 39-44 / surtir 40-43</x:v>
      </x:c>
      <x:c r="H101" s="21" t="str">
        <x:v>Chunky outdoor y trail como sneaker de moda.</x:v>
      </x:c>
      <x:c r="I101" s="21" t="str">
        <x:v>https://www.vogue.com/article/6-sneaker-trends-to-look-out-for-in-2025</x:v>
      </x:c>
      <x:c r="J101" s="21" t="str">
        <x:v>https://www.salomon.com/en-us/search?text=Salomon%20ACS%20Pro</x:v>
      </x:c>
    </x:row>
    <x:row r="102" ht="43.5" customHeight="1">
      <x:c r="A102" s="21" t="str">
        <x:v>Media</x:v>
      </x:c>
      <x:c r="B102" s="21" t="str">
        <x:v>Hombre</x:v>
      </x:c>
      <x:c r="C102" s="21" t="str">
        <x:v>Outdoor / gorpcore</x:v>
      </x:c>
      <x:c r="D102" s="21" t="str">
        <x:v>Salomon</x:v>
      </x:c>
      <x:c r="E102" s="21" t="str">
        <x:v>XT-Whisper</x:v>
      </x:c>
      <x:c r="F102" s="21" t="str">
        <x:v>Silver, White, Black, Pastel Blue, Pink</x:v>
      </x:c>
      <x:c r="G102" s="21" t="str">
        <x:v>Hombre 39-44 / surtir 40-43</x:v>
      </x:c>
      <x:c r="H102" s="21" t="str">
        <x:v>Chunky outdoor y trail como sneaker de moda.</x:v>
      </x:c>
      <x:c r="I102" s="21" t="str">
        <x:v>https://www.vogue.com/article/6-sneaker-trends-to-look-out-for-in-2025</x:v>
      </x:c>
      <x:c r="J102" s="21" t="str">
        <x:v>https://www.salomon.com/en-us/search?text=Salomon%20XT-Whisper</x:v>
      </x:c>
    </x:row>
    <x:row r="103" ht="43.5" customHeight="1">
      <x:c r="A103" s="21" t="str">
        <x:v>Media</x:v>
      </x:c>
      <x:c r="B103" s="21" t="str">
        <x:v>Hombre</x:v>
      </x:c>
      <x:c r="C103" s="21" t="str">
        <x:v>Outdoor / gorpcore</x:v>
      </x:c>
      <x:c r="D103" s="21" t="str">
        <x:v>Salomon</x:v>
      </x:c>
      <x:c r="E103" s="21" t="str">
        <x:v>Speedcross 3/6</x:v>
      </x:c>
      <x:c r="F103" s="21" t="str">
        <x:v>Black, Red, Lime, Blue, Grey</x:v>
      </x:c>
      <x:c r="G103" s="21" t="str">
        <x:v>Hombre 39-44 / surtir 40-43</x:v>
      </x:c>
      <x:c r="H103" s="21" t="str">
        <x:v>Chunky outdoor y trail como sneaker de moda.</x:v>
      </x:c>
      <x:c r="I103" s="21" t="str">
        <x:v>https://www.vogue.com/article/6-sneaker-trends-to-look-out-for-in-2025</x:v>
      </x:c>
      <x:c r="J103" s="21" t="str">
        <x:v>https://www.salomon.com/en-us/search?text=Salomon%20Speedcross%203%2F6</x:v>
      </x:c>
    </x:row>
    <x:row r="104" ht="43.5" customHeight="1">
      <x:c r="A104" s="21" t="str">
        <x:v>Prueba</x:v>
      </x:c>
      <x:c r="B104" s="21" t="str">
        <x:v>Hombre</x:v>
      </x:c>
      <x:c r="C104" s="21" t="str">
        <x:v>Outdoor / gorpcore</x:v>
      </x:c>
      <x:c r="D104" s="21" t="str">
        <x:v>Salomon</x:v>
      </x:c>
      <x:c r="E104" s="21" t="str">
        <x:v>XA Pro 3D</x:v>
      </x:c>
      <x:c r="F104" s="21" t="str">
        <x:v>Black, Olive, Silver, Blue, Tan</x:v>
      </x:c>
      <x:c r="G104" s="21" t="str">
        <x:v>Hombre 39-44 / surtir 40-43</x:v>
      </x:c>
      <x:c r="H104" s="21" t="str">
        <x:v>Chunky outdoor y trail como sneaker de moda.</x:v>
      </x:c>
      <x:c r="I104" s="21" t="str">
        <x:v>https://www.vogue.com/article/6-sneaker-trends-to-look-out-for-in-2025</x:v>
      </x:c>
      <x:c r="J104" s="21" t="str">
        <x:v>https://www.salomon.com/en-us/search?text=Salomon%20XA%20Pro%203D</x:v>
      </x:c>
    </x:row>
    <x:row r="105" ht="43.5" customHeight="1">
      <x:c r="A105" s="21" t="str">
        <x:v>Alta</x:v>
      </x:c>
      <x:c r="B105" s="21" t="str">
        <x:v>Hombre</x:v>
      </x:c>
      <x:c r="C105" s="21" t="str">
        <x:v>Skate / retro casual</x:v>
      </x:c>
      <x:c r="D105" s="21" t="str">
        <x:v>PUMA</x:v>
      </x:c>
      <x:c r="E105" s="21" t="str">
        <x:v>Speedcat OG</x:v>
      </x:c>
      <x:c r="F105" s="21" t="str">
        <x:v>Black/White, Red/White, Brown, Silver, Pink</x:v>
      </x:c>
      <x:c r="G105" s="21" t="str">
        <x:v>Hombre 39-44 / surtir 40-43</x:v>
      </x:c>
      <x:c r="H105" s="21" t="str">
        <x:v>Siluetas bajas y retro futbol/skate entran fuerte.</x:v>
      </x:c>
      <x:c r="I105" s="21" t="str">
        <x:v>https://www.vogue.com/article/6-sneaker-trends-to-look-out-for-in-2025</x:v>
      </x:c>
      <x:c r="J105" s="21" t="str">
        <x:v>https://us.puma.com/us/en/search?q=PUMA%20Speedcat%20OG</x:v>
      </x:c>
    </x:row>
    <x:row r="106" ht="43.5" customHeight="1">
      <x:c r="A106" s="21" t="str">
        <x:v>Media</x:v>
      </x:c>
      <x:c r="B106" s="21" t="str">
        <x:v>Hombre</x:v>
      </x:c>
      <x:c r="C106" s="21" t="str">
        <x:v>Skate / retro casual</x:v>
      </x:c>
      <x:c r="D106" s="21" t="str">
        <x:v>PUMA</x:v>
      </x:c>
      <x:c r="E106" s="21" t="str">
        <x:v>Palermo</x:v>
      </x:c>
      <x:c r="F106" s="21" t="str">
        <x:v>Green/Gum, Blue/Gum, Black/Gum, Red, Cream</x:v>
      </x:c>
      <x:c r="G106" s="21" t="str">
        <x:v>Hombre 39-44 / surtir 40-43</x:v>
      </x:c>
      <x:c r="H106" s="21" t="str">
        <x:v>Siluetas bajas y retro futbol/skate entran fuerte.</x:v>
      </x:c>
      <x:c r="I106" s="21" t="str">
        <x:v>https://www.vogue.com/article/6-sneaker-trends-to-look-out-for-in-2025</x:v>
      </x:c>
      <x:c r="J106" s="21" t="str">
        <x:v>https://us.puma.com/us/en/search?q=PUMA%20Palermo</x:v>
      </x:c>
    </x:row>
    <x:row r="107" ht="43.5" customHeight="1">
      <x:c r="A107" s="21" t="str">
        <x:v>Media</x:v>
      </x:c>
      <x:c r="B107" s="21" t="str">
        <x:v>Hombre</x:v>
      </x:c>
      <x:c r="C107" s="21" t="str">
        <x:v>Skate / retro casual</x:v>
      </x:c>
      <x:c r="D107" s="21" t="str">
        <x:v>PUMA</x:v>
      </x:c>
      <x:c r="E107" s="21" t="str">
        <x:v>Suede XL</x:v>
      </x:c>
      <x:c r="F107" s="21" t="str">
        <x:v>Black/White, Green, Navy, Red, Beige</x:v>
      </x:c>
      <x:c r="G107" s="21" t="str">
        <x:v>Hombre 39-44 / surtir 40-43</x:v>
      </x:c>
      <x:c r="H107" s="21" t="str">
        <x:v>Siluetas bajas y retro futbol/skate entran fuerte.</x:v>
      </x:c>
      <x:c r="I107" s="21" t="str">
        <x:v>https://www.vogue.com/article/6-sneaker-trends-to-look-out-for-in-2025</x:v>
      </x:c>
      <x:c r="J107" s="21" t="str">
        <x:v>https://us.puma.com/us/en/search?q=PUMA%20Suede%20XL</x:v>
      </x:c>
    </x:row>
    <x:row r="108" ht="43.5" customHeight="1">
      <x:c r="A108" s="21" t="str">
        <x:v>Prueba</x:v>
      </x:c>
      <x:c r="B108" s="21" t="str">
        <x:v>Hombre</x:v>
      </x:c>
      <x:c r="C108" s="21" t="str">
        <x:v>Skate / retro casual</x:v>
      </x:c>
      <x:c r="D108" s="21" t="str">
        <x:v>PUMA</x:v>
      </x:c>
      <x:c r="E108" s="21" t="str">
        <x:v>Mostro</x:v>
      </x:c>
      <x:c r="F108" s="21" t="str">
        <x:v>Black, Silver, Yellow, Red, White</x:v>
      </x:c>
      <x:c r="G108" s="21" t="str">
        <x:v>Hombre 39-44 / surtir 40-43</x:v>
      </x:c>
      <x:c r="H108" s="21" t="str">
        <x:v>Siluetas bajas y retro futbol/skate entran fuerte.</x:v>
      </x:c>
      <x:c r="I108" s="21" t="str">
        <x:v>https://www.vogue.com/article/6-sneaker-trends-to-look-out-for-in-2025</x:v>
      </x:c>
      <x:c r="J108" s="21" t="str">
        <x:v>https://us.puma.com/us/en/search?q=PUMA%20Mostro</x:v>
      </x:c>
    </x:row>
    <x:row r="109" ht="43.5" customHeight="1">
      <x:c r="A109" s="21" t="str">
        <x:v>Media</x:v>
      </x:c>
      <x:c r="B109" s="21" t="str">
        <x:v>Hombre</x:v>
      </x:c>
      <x:c r="C109" s="21" t="str">
        <x:v>Skate / retro casual</x:v>
      </x:c>
      <x:c r="D109" s="21" t="str">
        <x:v>PUMA</x:v>
      </x:c>
      <x:c r="E109" s="21" t="str">
        <x:v>LaMelo Ball MB.04/MB.05</x:v>
      </x:c>
      <x:c r="F109" s="21" t="str">
        <x:v>Rick and Morty brights, Blue, Red, Black, Silver</x:v>
      </x:c>
      <x:c r="G109" s="21" t="str">
        <x:v>Hombre 39-44 / surtir 40-43</x:v>
      </x:c>
      <x:c r="H109" s="21" t="str">
        <x:v>Siluetas bajas y retro futbol/skate entran fuerte.</x:v>
      </x:c>
      <x:c r="I109" s="21" t="str">
        <x:v>https://www.vogue.com/article/6-sneaker-trends-to-look-out-for-in-2025</x:v>
      </x:c>
      <x:c r="J109" s="21" t="str">
        <x:v>https://us.puma.com/us/en/search?q=PUMA%20LaMelo%20Ball%20MB.04%2FMB.05</x:v>
      </x:c>
    </x:row>
    <x:row r="110" ht="43.5" customHeight="1">
      <x:c r="A110" s="21" t="str">
        <x:v>Prueba</x:v>
      </x:c>
      <x:c r="B110" s="21" t="str">
        <x:v>Hombre</x:v>
      </x:c>
      <x:c r="C110" s="21" t="str">
        <x:v>Skate / retro casual</x:v>
      </x:c>
      <x:c r="D110" s="21" t="str">
        <x:v>PUMA</x:v>
      </x:c>
      <x:c r="E110" s="21" t="str">
        <x:v>Scoot Zeros</x:v>
      </x:c>
      <x:c r="F110" s="21" t="str">
        <x:v>Black/White, Purple, Red, Blue, Green</x:v>
      </x:c>
      <x:c r="G110" s="21" t="str">
        <x:v>Hombre 39-44 / surtir 40-43</x:v>
      </x:c>
      <x:c r="H110" s="21" t="str">
        <x:v>Siluetas bajas y retro futbol/skate entran fuerte.</x:v>
      </x:c>
      <x:c r="I110" s="21" t="str">
        <x:v>https://www.vogue.com/article/6-sneaker-trends-to-look-out-for-in-2025</x:v>
      </x:c>
      <x:c r="J110" s="21" t="str">
        <x:v>https://us.puma.com/us/en/search?q=PUMA%20Scoot%20Zeros</x:v>
      </x:c>
    </x:row>
    <x:row r="111" ht="43.5" customHeight="1">
      <x:c r="A111" s="21" t="str">
        <x:v>Alta</x:v>
      </x:c>
      <x:c r="B111" s="21" t="str">
        <x:v>Hombre</x:v>
      </x:c>
      <x:c r="C111" s="21" t="str">
        <x:v>Skate / retro casual</x:v>
      </x:c>
      <x:c r="D111" s="21" t="str">
        <x:v>Vans</x:v>
      </x:c>
      <x:c r="E111" s="21" t="str">
        <x:v>Old Skool 36</x:v>
      </x:c>
      <x:c r="F111" s="21" t="str">
        <x:v>Black/White, Pearlized Black Navy, Gum, Checkerboard</x:v>
      </x:c>
      <x:c r="G111" s="21" t="str">
        <x:v>Hombre 38-44 / surtir 39-42</x:v>
      </x:c>
      <x:c r="H111" s="21" t="str">
        <x:v>Skate vuelve por minimalismo y colegio.</x:v>
      </x:c>
      <x:c r="I111" s="21" t="str">
        <x:v>https://www.vogue.com/article/6-sneaker-trends-to-look-out-for-in-2025</x:v>
      </x:c>
      <x:c r="J111" s="21" t="str">
        <x:v>https://www.vans.com/en-us/search/product?q=Vans%20Old%20Skool%2036</x:v>
      </x:c>
    </x:row>
    <x:row r="112" ht="43.5" customHeight="1">
      <x:c r="A112" s="21" t="str">
        <x:v>Media</x:v>
      </x:c>
      <x:c r="B112" s="21" t="str">
        <x:v>Hombre</x:v>
      </x:c>
      <x:c r="C112" s="21" t="str">
        <x:v>Skate / retro casual</x:v>
      </x:c>
      <x:c r="D112" s="21" t="str">
        <x:v>Vans</x:v>
      </x:c>
      <x:c r="E112" s="21" t="str">
        <x:v>Knu Skool</x:v>
      </x:c>
      <x:c r="F112" s="21" t="str">
        <x:v>Black/White, Navy, Brown, Checkerboard, Grey</x:v>
      </x:c>
      <x:c r="G112" s="21" t="str">
        <x:v>Hombre 38-44 / surtir 39-42</x:v>
      </x:c>
      <x:c r="H112" s="21" t="str">
        <x:v>Skate vuelve por minimalismo y colegio.</x:v>
      </x:c>
      <x:c r="I112" s="21" t="str">
        <x:v>https://www.vogue.com/article/6-sneaker-trends-to-look-out-for-in-2025</x:v>
      </x:c>
      <x:c r="J112" s="21" t="str">
        <x:v>https://www.vans.com/en-us/search/product?q=Vans%20Knu%20Skool</x:v>
      </x:c>
    </x:row>
    <x:row r="113" ht="43.5" customHeight="1">
      <x:c r="A113" s="21" t="str">
        <x:v>Media</x:v>
      </x:c>
      <x:c r="B113" s="21" t="str">
        <x:v>Hombre</x:v>
      </x:c>
      <x:c r="C113" s="21" t="str">
        <x:v>Skate / retro casual</x:v>
      </x:c>
      <x:c r="D113" s="21" t="str">
        <x:v>Vans</x:v>
      </x:c>
      <x:c r="E113" s="21" t="str">
        <x:v>Slip-On Classic</x:v>
      </x:c>
      <x:c r="F113" s="21" t="str">
        <x:v>Checkerboard, Black, White, Leopard, Gum</x:v>
      </x:c>
      <x:c r="G113" s="21" t="str">
        <x:v>Hombre 38-44 / surtir 39-42</x:v>
      </x:c>
      <x:c r="H113" s="21" t="str">
        <x:v>Skate vuelve por minimalismo y colegio.</x:v>
      </x:c>
      <x:c r="I113" s="21" t="str">
        <x:v>https://www.vogue.com/article/6-sneaker-trends-to-look-out-for-in-2025</x:v>
      </x:c>
      <x:c r="J113" s="21" t="str">
        <x:v>https://www.vans.com/en-us/search/product?q=Vans%20Slip-On%20Classic</x:v>
      </x:c>
    </x:row>
    <x:row r="114" ht="43.5" customHeight="1">
      <x:c r="A114" s="21" t="str">
        <x:v>Prueba</x:v>
      </x:c>
      <x:c r="B114" s="21" t="str">
        <x:v>Hombre</x:v>
      </x:c>
      <x:c r="C114" s="21" t="str">
        <x:v>Skate / retro casual</x:v>
      </x:c>
      <x:c r="D114" s="21" t="str">
        <x:v>Vans</x:v>
      </x:c>
      <x:c r="E114" s="21" t="str">
        <x:v>Authentic</x:v>
      </x:c>
      <x:c r="F114" s="21" t="str">
        <x:v>Black, White, Navy, Red, Natural</x:v>
      </x:c>
      <x:c r="G114" s="21" t="str">
        <x:v>Hombre 38-44 / surtir 39-42</x:v>
      </x:c>
      <x:c r="H114" s="21" t="str">
        <x:v>Skate vuelve por minimalismo y colegio.</x:v>
      </x:c>
      <x:c r="I114" s="21" t="str">
        <x:v>https://www.vogue.com/article/6-sneaker-trends-to-look-out-for-in-2025</x:v>
      </x:c>
      <x:c r="J114" s="21" t="str">
        <x:v>https://www.vans.com/en-us/search/product?q=Vans%20Authentic</x:v>
      </x:c>
    </x:row>
    <x:row r="115" ht="43.5" customHeight="1">
      <x:c r="A115" s="21" t="str">
        <x:v>Prueba</x:v>
      </x:c>
      <x:c r="B115" s="21" t="str">
        <x:v>Hombre</x:v>
      </x:c>
      <x:c r="C115" s="21" t="str">
        <x:v>Skate / retro casual</x:v>
      </x:c>
      <x:c r="D115" s="21" t="str">
        <x:v>Vans</x:v>
      </x:c>
      <x:c r="E115" s="21" t="str">
        <x:v>Sk8-Hi</x:v>
      </x:c>
      <x:c r="F115" s="21" t="str">
        <x:v>Black/White, All Black, Navy, Checkerboard, Red</x:v>
      </x:c>
      <x:c r="G115" s="21" t="str">
        <x:v>Hombre 38-44 / surtir 39-42</x:v>
      </x:c>
      <x:c r="H115" s="21" t="str">
        <x:v>Skate vuelve por minimalismo y colegio.</x:v>
      </x:c>
      <x:c r="I115" s="21" t="str">
        <x:v>https://www.vogue.com/article/6-sneaker-trends-to-look-out-for-in-2025</x:v>
      </x:c>
      <x:c r="J115" s="21" t="str">
        <x:v>https://www.vans.com/en-us/search/product?q=Vans%20Sk8-Hi</x:v>
      </x:c>
    </x:row>
    <x:row r="116" ht="43.5" customHeight="1">
      <x:c r="A116" s="21" t="str">
        <x:v>Alta</x:v>
      </x:c>
      <x:c r="B116" s="21" t="str">
        <x:v>Hombre</x:v>
      </x:c>
      <x:c r="C116" s="21" t="str">
        <x:v>Skate / retro casual</x:v>
      </x:c>
      <x:c r="D116" s="21" t="str">
        <x:v>Converse</x:v>
      </x:c>
      <x:c r="E116" s="21" t="str">
        <x:v>Chuck Taylor All Star High</x:v>
      </x:c>
      <x:c r="F116" s="21" t="str">
        <x:v>Black, Optical White, Red, Navy, Cream</x:v>
      </x:c>
      <x:c r="G116" s="21" t="str">
        <x:v>Hombre 38-44 / surtir 39-42</x:v>
      </x:c>
      <x:c r="H116" s="21" t="str">
        <x:v>High-top retro para moda simple y colegio.</x:v>
      </x:c>
      <x:c r="I116" s="21" t="str">
        <x:v>https://www.vogue.com/article/6-sneaker-trends-to-look-out-for-in-2025</x:v>
      </x:c>
      <x:c r="J116" s="21" t="str">
        <x:v>https://www.converse.com/search?q=Converse%20Chuck%20Taylor%20All%20Star%20High</x:v>
      </x:c>
    </x:row>
    <x:row r="117" ht="43.5" customHeight="1">
      <x:c r="A117" s="21" t="str">
        <x:v>Alta</x:v>
      </x:c>
      <x:c r="B117" s="21" t="str">
        <x:v>Hombre</x:v>
      </x:c>
      <x:c r="C117" s="21" t="str">
        <x:v>Skate / retro casual</x:v>
      </x:c>
      <x:c r="D117" s="21" t="str">
        <x:v>Converse</x:v>
      </x:c>
      <x:c r="E117" s="21" t="str">
        <x:v>Chuck 70 High</x:v>
      </x:c>
      <x:c r="F117" s="21" t="str">
        <x:v>Black, Parchment, Navy, Egret, Brown</x:v>
      </x:c>
      <x:c r="G117" s="21" t="str">
        <x:v>Hombre 38-44 / surtir 39-42</x:v>
      </x:c>
      <x:c r="H117" s="21" t="str">
        <x:v>High-top retro para moda simple y colegio.</x:v>
      </x:c>
      <x:c r="I117" s="21" t="str">
        <x:v>https://www.vogue.com/article/6-sneaker-trends-to-look-out-for-in-2025</x:v>
      </x:c>
      <x:c r="J117" s="21" t="str">
        <x:v>https://www.converse.com/search?q=Converse%20Chuck%2070%20High</x:v>
      </x:c>
    </x:row>
    <x:row r="118" ht="43.5" customHeight="1">
      <x:c r="A118" s="21" t="str">
        <x:v>Media</x:v>
      </x:c>
      <x:c r="B118" s="21" t="str">
        <x:v>Hombre</x:v>
      </x:c>
      <x:c r="C118" s="21" t="str">
        <x:v>Skate / retro casual</x:v>
      </x:c>
      <x:c r="D118" s="21" t="str">
        <x:v>Converse</x:v>
      </x:c>
      <x:c r="E118" s="21" t="str">
        <x:v>Chuck 70 Low</x:v>
      </x:c>
      <x:c r="F118" s="21" t="str">
        <x:v>Black, Parchment, White, Green, Navy</x:v>
      </x:c>
      <x:c r="G118" s="21" t="str">
        <x:v>Hombre 38-44 / surtir 39-42</x:v>
      </x:c>
      <x:c r="H118" s="21" t="str">
        <x:v>High-top retro para moda simple y colegio.</x:v>
      </x:c>
      <x:c r="I118" s="21" t="str">
        <x:v>https://www.vogue.com/article/6-sneaker-trends-to-look-out-for-in-2025</x:v>
      </x:c>
      <x:c r="J118" s="21" t="str">
        <x:v>https://www.converse.com/search?q=Converse%20Chuck%2070%20Low</x:v>
      </x:c>
    </x:row>
    <x:row r="119" ht="43.5" customHeight="1">
      <x:c r="A119" s="21" t="str">
        <x:v>Prueba</x:v>
      </x:c>
      <x:c r="B119" s="21" t="str">
        <x:v>Hombre</x:v>
      </x:c>
      <x:c r="C119" s="21" t="str">
        <x:v>Skate / retro casual</x:v>
      </x:c>
      <x:c r="D119" s="21" t="str">
        <x:v>Converse</x:v>
      </x:c>
      <x:c r="E119" s="21" t="str">
        <x:v>Run Star Hike</x:v>
      </x:c>
      <x:c r="F119" s="21" t="str">
        <x:v>Black, White, Platform cream, Red</x:v>
      </x:c>
      <x:c r="G119" s="21" t="str">
        <x:v>Hombre 38-44 / surtir 39-42</x:v>
      </x:c>
      <x:c r="H119" s="21" t="str">
        <x:v>High-top retro para moda simple y colegio.</x:v>
      </x:c>
      <x:c r="I119" s="21" t="str">
        <x:v>https://www.vogue.com/article/6-sneaker-trends-to-look-out-for-in-2025</x:v>
      </x:c>
      <x:c r="J119" s="21" t="str">
        <x:v>https://www.converse.com/search?q=Converse%20Run%20Star%20Hike</x:v>
      </x:c>
    </x:row>
    <x:row r="120" ht="43.5" customHeight="1">
      <x:c r="A120" s="21" t="str">
        <x:v>Prueba</x:v>
      </x:c>
      <x:c r="B120" s="21" t="str">
        <x:v>Hombre</x:v>
      </x:c>
      <x:c r="C120" s="21" t="str">
        <x:v>Skate / retro casual</x:v>
      </x:c>
      <x:c r="D120" s="21" t="str">
        <x:v>Converse</x:v>
      </x:c>
      <x:c r="E120" s="21" t="str">
        <x:v>One Star</x:v>
      </x:c>
      <x:c r="F120" s="21" t="str">
        <x:v>Black, Suede Brown, Navy, Green, Cream</x:v>
      </x:c>
      <x:c r="G120" s="21" t="str">
        <x:v>Hombre 38-44 / surtir 39-42</x:v>
      </x:c>
      <x:c r="H120" s="21" t="str">
        <x:v>High-top retro para moda simple y colegio.</x:v>
      </x:c>
      <x:c r="I120" s="21" t="str">
        <x:v>https://www.vogue.com/article/6-sneaker-trends-to-look-out-for-in-2025</x:v>
      </x:c>
      <x:c r="J120" s="21" t="str">
        <x:v>https://www.converse.com/search?q=Converse%20One%20Star</x:v>
      </x:c>
    </x:row>
    <x:row r="121" ht="43.5" customHeight="1">
      <x:c r="A121" s="21" t="str">
        <x:v>Alta</x:v>
      </x:c>
      <x:c r="B121" s="21" t="str">
        <x:v>Dama</x:v>
      </x:c>
      <x:c r="C121" s="21" t="str">
        <x:v>Dama tendencia / sneakerina</x:v>
      </x:c>
      <x:c r="D121" s="21" t="str">
        <x:v>adidas</x:v>
      </x:c>
      <x:c r="E121" s="21" t="str">
        <x:v>Taekwondo Mei Ballet</x:v>
      </x:c>
      <x:c r="F121" s="21" t="str">
        <x:v>Black/White, White/Black, Silver, Butter Yellow, Pink</x:v>
      </x:c>
      <x:c r="G121" s="21" t="str">
        <x:v>Dama 35-40 / surtir 36-39</x:v>
      </x:c>
      <x:c r="H121" s="21" t="str">
        <x:v>Dama pide bajos, delgados, satinados, amarillos y blanco/negro.</x:v>
      </x:c>
      <x:c r="I121" s="21" t="str">
        <x:v>https://www.adidas.com/us/release-dates</x:v>
      </x:c>
      <x:c r="J121" s="21" t="str">
        <x:v>https://www.adidas.com/us/search?q=adidas%20Taekwondo%20Mei%20Ballet</x:v>
      </x:c>
    </x:row>
    <x:row r="122" ht="43.5" customHeight="1">
      <x:c r="A122" s="21" t="str">
        <x:v>Alta</x:v>
      </x:c>
      <x:c r="B122" s="21" t="str">
        <x:v>Dama</x:v>
      </x:c>
      <x:c r="C122" s="21" t="str">
        <x:v>Dama tendencia / sneakerina</x:v>
      </x:c>
      <x:c r="D122" s="21" t="str">
        <x:v>adidas</x:v>
      </x:c>
      <x:c r="E122" s="21" t="str">
        <x:v>Samba Jane</x:v>
      </x:c>
      <x:c r="F122" s="21" t="str">
        <x:v>Black/White, White/Black, Burgundy, Silver, Cream</x:v>
      </x:c>
      <x:c r="G122" s="21" t="str">
        <x:v>Dama 35-40 / surtir 36-39</x:v>
      </x:c>
      <x:c r="H122" s="21" t="str">
        <x:v>Dama pide bajos, delgados, satinados, amarillos y blanco/negro.</x:v>
      </x:c>
      <x:c r="I122" s="21" t="str">
        <x:v>https://www.adidas.com/us/release-dates</x:v>
      </x:c>
      <x:c r="J122" s="21" t="str">
        <x:v>https://www.adidas.com/us/search?q=adidas%20Samba%20Jane</x:v>
      </x:c>
    </x:row>
    <x:row r="123" ht="43.5" customHeight="1">
      <x:c r="A123" s="21" t="str">
        <x:v>Alta</x:v>
      </x:c>
      <x:c r="B123" s="21" t="str">
        <x:v>Dama</x:v>
      </x:c>
      <x:c r="C123" s="21" t="str">
        <x:v>Dama tendencia / sneakerina</x:v>
      </x:c>
      <x:c r="D123" s="21" t="str">
        <x:v>adidas</x:v>
      </x:c>
      <x:c r="E123" s="21" t="str">
        <x:v>Tokyo</x:v>
      </x:c>
      <x:c r="F123" s="21" t="str">
        <x:v>Silver, Black/White, Red, Navy, Butter Yellow</x:v>
      </x:c>
      <x:c r="G123" s="21" t="str">
        <x:v>Dama 35-40 / surtir 36-39</x:v>
      </x:c>
      <x:c r="H123" s="21" t="str">
        <x:v>Dama pide bajos, delgados, satinados, amarillos y blanco/negro.</x:v>
      </x:c>
      <x:c r="I123" s="21" t="str">
        <x:v>https://www.adidas.com/us/release-dates</x:v>
      </x:c>
      <x:c r="J123" s="21" t="str">
        <x:v>https://www.adidas.com/us/search?q=adidas%20Tokyo</x:v>
      </x:c>
    </x:row>
    <x:row r="124" ht="43.5" customHeight="1">
      <x:c r="A124" s="21" t="str">
        <x:v>Alta</x:v>
      </x:c>
      <x:c r="B124" s="21" t="str">
        <x:v>Dama</x:v>
      </x:c>
      <x:c r="C124" s="21" t="str">
        <x:v>Dama tendencia / sneakerina</x:v>
      </x:c>
      <x:c r="D124" s="21" t="str">
        <x:v>adidas</x:v>
      </x:c>
      <x:c r="E124" s="21" t="str">
        <x:v>Gazelle Indoor</x:v>
      </x:c>
      <x:c r="F124" s="21" t="str">
        <x:v>Butter Yellow, Pink, Burgundy, Green, Blue/Gum</x:v>
      </x:c>
      <x:c r="G124" s="21" t="str">
        <x:v>Dama 35-40 / surtir 36-39</x:v>
      </x:c>
      <x:c r="H124" s="21" t="str">
        <x:v>Dama pide bajos, delgados, satinados, amarillos y blanco/negro.</x:v>
      </x:c>
      <x:c r="I124" s="21" t="str">
        <x:v>https://www.adidas.com/us/release-dates</x:v>
      </x:c>
      <x:c r="J124" s="21" t="str">
        <x:v>https://www.adidas.com/us/search?q=adidas%20Gazelle%20Indoor</x:v>
      </x:c>
    </x:row>
    <x:row r="125" ht="43.5" customHeight="1">
      <x:c r="A125" s="21" t="str">
        <x:v>Alta</x:v>
      </x:c>
      <x:c r="B125" s="21" t="str">
        <x:v>Dama</x:v>
      </x:c>
      <x:c r="C125" s="21" t="str">
        <x:v>Dama tendencia / sneakerina</x:v>
      </x:c>
      <x:c r="D125" s="21" t="str">
        <x:v>adidas</x:v>
      </x:c>
      <x:c r="E125" s="21" t="str">
        <x:v>Samba OG</x:v>
      </x:c>
      <x:c r="F125" s="21" t="str">
        <x:v>White/Black, Black/White, Burgundy, Collegiate Green, Leopard</x:v>
      </x:c>
      <x:c r="G125" s="21" t="str">
        <x:v>Dama 35-40 / surtir 36-39</x:v>
      </x:c>
      <x:c r="H125" s="21" t="str">
        <x:v>Dama pide bajos, delgados, satinados, amarillos y blanco/negro.</x:v>
      </x:c>
      <x:c r="I125" s="21" t="str">
        <x:v>https://www.adidas.com/us/release-dates</x:v>
      </x:c>
      <x:c r="J125" s="21" t="str">
        <x:v>https://www.adidas.com/us/search?q=adidas%20Samba%20OG</x:v>
      </x:c>
    </x:row>
    <x:row r="126" ht="43.5" customHeight="1">
      <x:c r="A126" s="21" t="str">
        <x:v>Media</x:v>
      </x:c>
      <x:c r="B126" s="21" t="str">
        <x:v>Dama</x:v>
      </x:c>
      <x:c r="C126" s="21" t="str">
        <x:v>Dama tendencia / sneakerina</x:v>
      </x:c>
      <x:c r="D126" s="21" t="str">
        <x:v>adidas</x:v>
      </x:c>
      <x:c r="E126" s="21" t="str">
        <x:v>SL 72</x:v>
      </x:c>
      <x:c r="F126" s="21" t="str">
        <x:v>Yellow, Blue, Red, Green, Silver</x:v>
      </x:c>
      <x:c r="G126" s="21" t="str">
        <x:v>Dama 35-40 / surtir 36-39</x:v>
      </x:c>
      <x:c r="H126" s="21" t="str">
        <x:v>Dama pide bajos, delgados, satinados, amarillos y blanco/negro.</x:v>
      </x:c>
      <x:c r="I126" s="21" t="str">
        <x:v>https://www.adidas.com/us/release-dates</x:v>
      </x:c>
      <x:c r="J126" s="21" t="str">
        <x:v>https://www.adidas.com/us/search?q=adidas%20SL%2072</x:v>
      </x:c>
    </x:row>
    <x:row r="127" ht="43.5" customHeight="1">
      <x:c r="A127" s="21" t="str">
        <x:v>Media</x:v>
      </x:c>
      <x:c r="B127" s="21" t="str">
        <x:v>Dama</x:v>
      </x:c>
      <x:c r="C127" s="21" t="str">
        <x:v>Dama tendencia / sneakerina</x:v>
      </x:c>
      <x:c r="D127" s="21" t="str">
        <x:v>adidas</x:v>
      </x:c>
      <x:c r="E127" s="21" t="str">
        <x:v>Campus 00s</x:v>
      </x:c>
      <x:c r="F127" s="21" t="str">
        <x:v>Grey, Pink, Burgundy, Cream, Black</x:v>
      </x:c>
      <x:c r="G127" s="21" t="str">
        <x:v>Dama 35-40 / surtir 36-39</x:v>
      </x:c>
      <x:c r="H127" s="21" t="str">
        <x:v>Dama pide bajos, delgados, satinados, amarillos y blanco/negro.</x:v>
      </x:c>
      <x:c r="I127" s="21" t="str">
        <x:v>https://www.adidas.com/us/release-dates</x:v>
      </x:c>
      <x:c r="J127" s="21" t="str">
        <x:v>https://www.adidas.com/us/search?q=adidas%20Campus%2000s</x:v>
      </x:c>
    </x:row>
    <x:row r="128" ht="43.5" customHeight="1">
      <x:c r="A128" s="21" t="str">
        <x:v>Media</x:v>
      </x:c>
      <x:c r="B128" s="21" t="str">
        <x:v>Dama</x:v>
      </x:c>
      <x:c r="C128" s="21" t="str">
        <x:v>Dama tendencia / sneakerina</x:v>
      </x:c>
      <x:c r="D128" s="21" t="str">
        <x:v>adidas</x:v>
      </x:c>
      <x:c r="E128" s="21" t="str">
        <x:v>Handball Spezial</x:v>
      </x:c>
      <x:c r="F128" s="21" t="str">
        <x:v>Navy/Gum, Brown, Light Blue, Green, Pink</x:v>
      </x:c>
      <x:c r="G128" s="21" t="str">
        <x:v>Dama 35-40 / surtir 36-39</x:v>
      </x:c>
      <x:c r="H128" s="21" t="str">
        <x:v>Dama pide bajos, delgados, satinados, amarillos y blanco/negro.</x:v>
      </x:c>
      <x:c r="I128" s="21" t="str">
        <x:v>https://www.adidas.com/us/release-dates</x:v>
      </x:c>
      <x:c r="J128" s="21" t="str">
        <x:v>https://www.adidas.com/us/search?q=adidas%20Handball%20Spezial</x:v>
      </x:c>
    </x:row>
    <x:row r="129" ht="43.5" customHeight="1">
      <x:c r="A129" s="21" t="str">
        <x:v>Alta</x:v>
      </x:c>
      <x:c r="B129" s="21" t="str">
        <x:v>Dama</x:v>
      </x:c>
      <x:c r="C129" s="21" t="str">
        <x:v>Dama tendencia / metalizado</x:v>
      </x:c>
      <x:c r="D129" s="21" t="str">
        <x:v>New Balance</x:v>
      </x:c>
      <x:c r="E129" s="21" t="str">
        <x:v>New Balance 530</x:v>
      </x:c>
      <x:c r="F129" s="21" t="str">
        <x:v>White/Silver, Pink, Sea Salt, Beige, Blue</x:v>
      </x:c>
      <x:c r="G129" s="21" t="str">
        <x:v>Dama 35-40 / surtir 36-39</x:v>
      </x:c>
      <x:c r="H129" s="21" t="str">
        <x:v>Metalizados, runner slim y Y2K son fuertes en dama.</x:v>
      </x:c>
      <x:c r="I129" s="21" t="str">
        <x:v>https://stockx.com/about/sx-market-insights/big-facts-current-culture-index-2026/</x:v>
      </x:c>
      <x:c r="J129" s="21" t="str">
        <x:v>https://www.newbalance.com/search?q=New%20Balance%20New%20Balance%20530</x:v>
      </x:c>
    </x:row>
    <x:row r="130" ht="43.5" customHeight="1">
      <x:c r="A130" s="21" t="str">
        <x:v>Alta</x:v>
      </x:c>
      <x:c r="B130" s="21" t="str">
        <x:v>Dama</x:v>
      </x:c>
      <x:c r="C130" s="21" t="str">
        <x:v>Dama tendencia / metalizado</x:v>
      </x:c>
      <x:c r="D130" s="21" t="str">
        <x:v>New Balance</x:v>
      </x:c>
      <x:c r="E130" s="21" t="str">
        <x:v>New Balance 9060</x:v>
      </x:c>
      <x:c r="F130" s="21" t="str">
        <x:v>Moonbeam, Rain Cloud, Pink, Sea Salt, Black</x:v>
      </x:c>
      <x:c r="G130" s="21" t="str">
        <x:v>Dama 35-40 / surtir 36-39</x:v>
      </x:c>
      <x:c r="H130" s="21" t="str">
        <x:v>Metalizados, runner slim y Y2K son fuertes en dama.</x:v>
      </x:c>
      <x:c r="I130" s="21" t="str">
        <x:v>https://stockx.com/about/sx-market-insights/big-facts-current-culture-index-2026/</x:v>
      </x:c>
      <x:c r="J130" s="21" t="str">
        <x:v>https://www.newbalance.com/search?q=New%20Balance%20New%20Balance%209060</x:v>
      </x:c>
    </x:row>
    <x:row r="131" ht="43.5" customHeight="1">
      <x:c r="A131" s="21" t="str">
        <x:v>Alta</x:v>
      </x:c>
      <x:c r="B131" s="21" t="str">
        <x:v>Dama</x:v>
      </x:c>
      <x:c r="C131" s="21" t="str">
        <x:v>Dama tendencia / metalizado</x:v>
      </x:c>
      <x:c r="D131" s="21" t="str">
        <x:v>New Balance</x:v>
      </x:c>
      <x:c r="E131" s="21" t="str">
        <x:v>New Balance 1906R</x:v>
      </x:c>
      <x:c r="F131" s="21" t="str">
        <x:v>Silver Metallic, Rose, Cream, Black, Blue</x:v>
      </x:c>
      <x:c r="G131" s="21" t="str">
        <x:v>Dama 35-40 / surtir 36-39</x:v>
      </x:c>
      <x:c r="H131" s="21" t="str">
        <x:v>Metalizados, runner slim y Y2K son fuertes en dama.</x:v>
      </x:c>
      <x:c r="I131" s="21" t="str">
        <x:v>https://stockx.com/about/sx-market-insights/big-facts-current-culture-index-2026/</x:v>
      </x:c>
      <x:c r="J131" s="21" t="str">
        <x:v>https://www.newbalance.com/search?q=New%20Balance%20New%20Balance%201906R</x:v>
      </x:c>
    </x:row>
    <x:row r="132" ht="43.5" customHeight="1">
      <x:c r="A132" s="21" t="str">
        <x:v>Media</x:v>
      </x:c>
      <x:c r="B132" s="21" t="str">
        <x:v>Dama</x:v>
      </x:c>
      <x:c r="C132" s="21" t="str">
        <x:v>Dama tendencia / metalizado</x:v>
      </x:c>
      <x:c r="D132" s="21" t="str">
        <x:v>New Balance</x:v>
      </x:c>
      <x:c r="E132" s="21" t="str">
        <x:v>New Balance 327</x:v>
      </x:c>
      <x:c r="F132" s="21" t="str">
        <x:v>Animal Print, White/Black, Pink, Navy, Green</x:v>
      </x:c>
      <x:c r="G132" s="21" t="str">
        <x:v>Dama 35-40 / surtir 36-39</x:v>
      </x:c>
      <x:c r="H132" s="21" t="str">
        <x:v>Metalizados, runner slim y Y2K son fuertes en dama.</x:v>
      </x:c>
      <x:c r="I132" s="21" t="str">
        <x:v>https://stockx.com/about/sx-market-insights/big-facts-current-culture-index-2026/</x:v>
      </x:c>
      <x:c r="J132" s="21" t="str">
        <x:v>https://www.newbalance.com/search?q=New%20Balance%20New%20Balance%20327</x:v>
      </x:c>
    </x:row>
    <x:row r="133" ht="43.5" customHeight="1">
      <x:c r="A133" s="21" t="str">
        <x:v>Alta</x:v>
      </x:c>
      <x:c r="B133" s="21" t="str">
        <x:v>Dama</x:v>
      </x:c>
      <x:c r="C133" s="21" t="str">
        <x:v>Dama tendencia / metalizado</x:v>
      </x:c>
      <x:c r="D133" s="21" t="str">
        <x:v>New Balance</x:v>
      </x:c>
      <x:c r="E133" s="21" t="str">
        <x:v>New Balance 204L</x:v>
      </x:c>
      <x:c r="F133" s="21" t="str">
        <x:v>White/Oxford Blue, Pink Chalk, Driftwood, Black</x:v>
      </x:c>
      <x:c r="G133" s="21" t="str">
        <x:v>Dama 35-40 / surtir 36-39</x:v>
      </x:c>
      <x:c r="H133" s="21" t="str">
        <x:v>Metalizados, runner slim y Y2K son fuertes en dama.</x:v>
      </x:c>
      <x:c r="I133" s="21" t="str">
        <x:v>https://stockx.com/about/sx-market-insights/big-facts-current-culture-index-2026/</x:v>
      </x:c>
      <x:c r="J133" s="21" t="str">
        <x:v>https://www.newbalance.com/search?q=New%20Balance%20New%20Balance%20204L</x:v>
      </x:c>
    </x:row>
    <x:row r="134" ht="43.5" customHeight="1">
      <x:c r="A134" s="21" t="str">
        <x:v>Media</x:v>
      </x:c>
      <x:c r="B134" s="21" t="str">
        <x:v>Dama</x:v>
      </x:c>
      <x:c r="C134" s="21" t="str">
        <x:v>Dama tendencia / metalizado</x:v>
      </x:c>
      <x:c r="D134" s="21" t="str">
        <x:v>New Balance</x:v>
      </x:c>
      <x:c r="E134" s="21" t="str">
        <x:v>New Balance RC42</x:v>
      </x:c>
      <x:c r="F134" s="21" t="str">
        <x:v>Silver, White, Black, Cream, Red</x:v>
      </x:c>
      <x:c r="G134" s="21" t="str">
        <x:v>Dama 35-40 / surtir 36-39</x:v>
      </x:c>
      <x:c r="H134" s="21" t="str">
        <x:v>Metalizados, runner slim y Y2K son fuertes en dama.</x:v>
      </x:c>
      <x:c r="I134" s="21" t="str">
        <x:v>https://stockx.com/about/sx-market-insights/big-facts-current-culture-index-2026/</x:v>
      </x:c>
      <x:c r="J134" s="21" t="str">
        <x:v>https://www.newbalance.com/search?q=New%20Balance%20New%20Balance%20RC42</x:v>
      </x:c>
    </x:row>
    <x:row r="135" ht="43.5" customHeight="1">
      <x:c r="A135" s="21" t="str">
        <x:v>Media</x:v>
      </x:c>
      <x:c r="B135" s="21" t="str">
        <x:v>Dama</x:v>
      </x:c>
      <x:c r="C135" s="21" t="str">
        <x:v>Dama tendencia / metalizado</x:v>
      </x:c>
      <x:c r="D135" s="21" t="str">
        <x:v>New Balance</x:v>
      </x:c>
      <x:c r="E135" s="21" t="str">
        <x:v>New Balance 740</x:v>
      </x:c>
      <x:c r="F135" s="21" t="str">
        <x:v>White/Blue, White/Green, Silver, Yellow, Black</x:v>
      </x:c>
      <x:c r="G135" s="21" t="str">
        <x:v>Dama 35-40 / surtir 36-39</x:v>
      </x:c>
      <x:c r="H135" s="21" t="str">
        <x:v>Metalizados, runner slim y Y2K son fuertes en dama.</x:v>
      </x:c>
      <x:c r="I135" s="21" t="str">
        <x:v>https://stockx.com/about/sx-market-insights/big-facts-current-culture-index-2026/</x:v>
      </x:c>
      <x:c r="J135" s="21" t="str">
        <x:v>https://www.newbalance.com/search?q=New%20Balance%20New%20Balance%20740</x:v>
      </x:c>
    </x:row>
    <x:row r="136" ht="43.5" customHeight="1">
      <x:c r="A136" s="21" t="str">
        <x:v>Media</x:v>
      </x:c>
      <x:c r="B136" s="21" t="str">
        <x:v>Dama</x:v>
      </x:c>
      <x:c r="C136" s="21" t="str">
        <x:v>Dama tendencia / metalizado</x:v>
      </x:c>
      <x:c r="D136" s="21" t="str">
        <x:v>New Balance</x:v>
      </x:c>
      <x:c r="E136" s="21" t="str">
        <x:v>New Balance Coco CG2</x:v>
      </x:c>
      <x:c r="F136" s="21" t="str">
        <x:v>White/Green, Pink, Black, Blue, Cream</x:v>
      </x:c>
      <x:c r="G136" s="21" t="str">
        <x:v>Dama 35-40 / surtir 36-39</x:v>
      </x:c>
      <x:c r="H136" s="21" t="str">
        <x:v>Metalizados, runner slim y Y2K son fuertes en dama.</x:v>
      </x:c>
      <x:c r="I136" s="21" t="str">
        <x:v>https://stockx.com/about/sx-market-insights/big-facts-current-culture-index-2026/</x:v>
      </x:c>
      <x:c r="J136" s="21" t="str">
        <x:v>https://www.newbalance.com/search?q=New%20Balance%20New%20Balance%20Coco%20CG2</x:v>
      </x:c>
    </x:row>
    <x:row r="137" ht="43.5" customHeight="1">
      <x:c r="A137" s="21" t="str">
        <x:v>Alta</x:v>
      </x:c>
      <x:c r="B137" s="21" t="str">
        <x:v>Dama</x:v>
      </x:c>
      <x:c r="C137" s="21" t="str">
        <x:v>Dama tendencia / metalizado</x:v>
      </x:c>
      <x:c r="D137" s="21" t="str">
        <x:v>ASICS</x:v>
      </x:c>
      <x:c r="E137" s="21" t="str">
        <x:v>GEL-Kayano 14</x:v>
      </x:c>
      <x:c r="F137" s="21" t="str">
        <x:v>Cream/Black, Silver, White/Blue, Birch, Pink</x:v>
      </x:c>
      <x:c r="G137" s="21" t="str">
        <x:v>Dama 35-40 / surtir 36-39</x:v>
      </x:c>
      <x:c r="H137" s="21" t="str">
        <x:v>ASICS funciona por comodidad y look fashion runner.</x:v>
      </x:c>
      <x:c r="I137" s="21" t="str">
        <x:v>https://stockx.com/about/sx-market-insights/big-facts-current-culture-index-2026/</x:v>
      </x:c>
      <x:c r="J137" s="21" t="str">
        <x:v>https://www.asics.com/us/en-us/search/?q=ASICS%20GEL-Kayano%2014</x:v>
      </x:c>
    </x:row>
    <x:row r="138" ht="43.5" customHeight="1">
      <x:c r="A138" s="21" t="str">
        <x:v>Alta</x:v>
      </x:c>
      <x:c r="B138" s="21" t="str">
        <x:v>Dama</x:v>
      </x:c>
      <x:c r="C138" s="21" t="str">
        <x:v>Dama tendencia / metalizado</x:v>
      </x:c>
      <x:c r="D138" s="21" t="str">
        <x:v>ASICS</x:v>
      </x:c>
      <x:c r="E138" s="21" t="str">
        <x:v>GEL-1130</x:v>
      </x:c>
      <x:c r="F138" s="21" t="str">
        <x:v>White/Silver, Cream, Black, Pale Blue, Pink</x:v>
      </x:c>
      <x:c r="G138" s="21" t="str">
        <x:v>Dama 35-40 / surtir 36-39</x:v>
      </x:c>
      <x:c r="H138" s="21" t="str">
        <x:v>ASICS funciona por comodidad y look fashion runner.</x:v>
      </x:c>
      <x:c r="I138" s="21" t="str">
        <x:v>https://stockx.com/about/sx-market-insights/big-facts-current-culture-index-2026/</x:v>
      </x:c>
      <x:c r="J138" s="21" t="str">
        <x:v>https://www.asics.com/us/en-us/search/?q=ASICS%20GEL-1130</x:v>
      </x:c>
    </x:row>
    <x:row r="139" ht="43.5" customHeight="1">
      <x:c r="A139" s="21" t="str">
        <x:v>Alta</x:v>
      </x:c>
      <x:c r="B139" s="21" t="str">
        <x:v>Dama</x:v>
      </x:c>
      <x:c r="C139" s="21" t="str">
        <x:v>Dama tendencia / metalizado</x:v>
      </x:c>
      <x:c r="D139" s="21" t="str">
        <x:v>ASICS</x:v>
      </x:c>
      <x:c r="E139" s="21" t="str">
        <x:v>GEL-NYC</x:v>
      </x:c>
      <x:c r="F139" s="21" t="str">
        <x:v>Cream/Oyster, White/Green, Grey, Blue, Black</x:v>
      </x:c>
      <x:c r="G139" s="21" t="str">
        <x:v>Dama 35-40 / surtir 36-39</x:v>
      </x:c>
      <x:c r="H139" s="21" t="str">
        <x:v>ASICS funciona por comodidad y look fashion runner.</x:v>
      </x:c>
      <x:c r="I139" s="21" t="str">
        <x:v>https://stockx.com/about/sx-market-insights/big-facts-current-culture-index-2026/</x:v>
      </x:c>
      <x:c r="J139" s="21" t="str">
        <x:v>https://www.asics.com/us/en-us/search/?q=ASICS%20GEL-NYC</x:v>
      </x:c>
    </x:row>
    <x:row r="140" ht="43.5" customHeight="1">
      <x:c r="A140" s="21" t="str">
        <x:v>Media</x:v>
      </x:c>
      <x:c r="B140" s="21" t="str">
        <x:v>Dama</x:v>
      </x:c>
      <x:c r="C140" s="21" t="str">
        <x:v>Dama tendencia / metalizado</x:v>
      </x:c>
      <x:c r="D140" s="21" t="str">
        <x:v>ASICS</x:v>
      </x:c>
      <x:c r="E140" s="21" t="str">
        <x:v>GT-2160</x:v>
      </x:c>
      <x:c r="F140" s="21" t="str">
        <x:v>White/Silver, Cream, Pink, Blue, Black</x:v>
      </x:c>
      <x:c r="G140" s="21" t="str">
        <x:v>Dama 35-40 / surtir 36-39</x:v>
      </x:c>
      <x:c r="H140" s="21" t="str">
        <x:v>ASICS funciona por comodidad y look fashion runner.</x:v>
      </x:c>
      <x:c r="I140" s="21" t="str">
        <x:v>https://stockx.com/about/sx-market-insights/big-facts-current-culture-index-2026/</x:v>
      </x:c>
      <x:c r="J140" s="21" t="str">
        <x:v>https://www.asics.com/us/en-us/search/?q=ASICS%20GT-2160</x:v>
      </x:c>
    </x:row>
    <x:row r="141" ht="43.5" customHeight="1">
      <x:c r="A141" s="21" t="str">
        <x:v>Media</x:v>
      </x:c>
      <x:c r="B141" s="21" t="str">
        <x:v>Dama</x:v>
      </x:c>
      <x:c r="C141" s="21" t="str">
        <x:v>Dama tendencia / metalizado</x:v>
      </x:c>
      <x:c r="D141" s="21" t="str">
        <x:v>ASICS</x:v>
      </x:c>
      <x:c r="E141" s="21" t="str">
        <x:v>GEL-Nimbus 10.1</x:v>
      </x:c>
      <x:c r="F141" s="21" t="str">
        <x:v>Silver, Cream, Blue, Black, Brown</x:v>
      </x:c>
      <x:c r="G141" s="21" t="str">
        <x:v>Dama 35-40 / surtir 36-39</x:v>
      </x:c>
      <x:c r="H141" s="21" t="str">
        <x:v>ASICS funciona por comodidad y look fashion runner.</x:v>
      </x:c>
      <x:c r="I141" s="21" t="str">
        <x:v>https://stockx.com/about/sx-market-insights/big-facts-current-culture-index-2026/</x:v>
      </x:c>
      <x:c r="J141" s="21" t="str">
        <x:v>https://www.asics.com/us/en-us/search/?q=ASICS%20GEL-Nimbus%2010.1</x:v>
      </x:c>
    </x:row>
    <x:row r="142" ht="43.5" customHeight="1">
      <x:c r="A142" s="21" t="str">
        <x:v>Alta</x:v>
      </x:c>
      <x:c r="B142" s="21" t="str">
        <x:v>Dama</x:v>
      </x:c>
      <x:c r="C142" s="21" t="str">
        <x:v>Dama tendencia / lifestyle premium</x:v>
      </x:c>
      <x:c r="D142" s="21" t="str">
        <x:v>Nike</x:v>
      </x:c>
      <x:c r="E142" s="21" t="str">
        <x:v>Air Force 1 Low / Shadow</x:v>
      </x:c>
      <x:c r="F142" s="21" t="str">
        <x:v>Triple White, White/Gum, White/Pink, Sail, Black/White</x:v>
      </x:c>
      <x:c r="G142" s="21" t="str">
        <x:v>Dama 35-40 / surtir 36-39</x:v>
      </x:c>
      <x:c r="H142" s="21" t="str">
        <x:v>Blancos, plataformas y runner silver tienen mucha salida.</x:v>
      </x:c>
      <x:c r="I142" s="21" t="str">
        <x:v>https://stockx.com/about/sx-market-insights/big-facts-current-culture-index-2026/</x:v>
      </x:c>
      <x:c r="J142" s="21" t="str">
        <x:v>https://www.nike.com/w?q=Nike%20Air%20Force%201%20Low%20%2F%20Shadow</x:v>
      </x:c>
    </x:row>
    <x:row r="143" ht="43.5" customHeight="1">
      <x:c r="A143" s="21" t="str">
        <x:v>Alta</x:v>
      </x:c>
      <x:c r="B143" s="21" t="str">
        <x:v>Dama</x:v>
      </x:c>
      <x:c r="C143" s="21" t="str">
        <x:v>Dama tendencia / lifestyle premium</x:v>
      </x:c>
      <x:c r="D143" s="21" t="str">
        <x:v>Nike</x:v>
      </x:c>
      <x:c r="E143" s="21" t="str">
        <x:v>Dunk Low</x:v>
      </x:c>
      <x:c r="F143" s="21" t="str">
        <x:v>Panda, Cacao Wow, Grey Fog, Pink Oxford, University Blue</x:v>
      </x:c>
      <x:c r="G143" s="21" t="str">
        <x:v>Dama 35-40 / surtir 36-39</x:v>
      </x:c>
      <x:c r="H143" s="21" t="str">
        <x:v>Blancos, plataformas y runner silver tienen mucha salida.</x:v>
      </x:c>
      <x:c r="I143" s="21" t="str">
        <x:v>https://stockx.com/about/sx-market-insights/big-facts-current-culture-index-2026/</x:v>
      </x:c>
      <x:c r="J143" s="21" t="str">
        <x:v>https://www.nike.com/w?q=Nike%20Dunk%20Low</x:v>
      </x:c>
    </x:row>
    <x:row r="144" ht="43.5" customHeight="1">
      <x:c r="A144" s="21" t="str">
        <x:v>Alta</x:v>
      </x:c>
      <x:c r="B144" s="21" t="str">
        <x:v>Dama</x:v>
      </x:c>
      <x:c r="C144" s="21" t="str">
        <x:v>Dama tendencia / lifestyle premium</x:v>
      </x:c>
      <x:c r="D144" s="21" t="str">
        <x:v>Nike</x:v>
      </x:c>
      <x:c r="E144" s="21" t="str">
        <x:v>P-6000</x:v>
      </x:c>
      <x:c r="F144" s="21" t="str">
        <x:v>Metallic Silver, White/Black, Pink, Platinum, Black</x:v>
      </x:c>
      <x:c r="G144" s="21" t="str">
        <x:v>Dama 35-40 / surtir 36-39</x:v>
      </x:c>
      <x:c r="H144" s="21" t="str">
        <x:v>Blancos, plataformas y runner silver tienen mucha salida.</x:v>
      </x:c>
      <x:c r="I144" s="21" t="str">
        <x:v>https://stockx.com/about/sx-market-insights/big-facts-current-culture-index-2026/</x:v>
      </x:c>
      <x:c r="J144" s="21" t="str">
        <x:v>https://www.nike.com/w?q=Nike%20P-6000</x:v>
      </x:c>
    </x:row>
    <x:row r="145" ht="43.5" customHeight="1">
      <x:c r="A145" s="21" t="str">
        <x:v>Alta</x:v>
      </x:c>
      <x:c r="B145" s="21" t="str">
        <x:v>Dama</x:v>
      </x:c>
      <x:c r="C145" s="21" t="str">
        <x:v>Dama tendencia / lifestyle premium</x:v>
      </x:c>
      <x:c r="D145" s="21" t="str">
        <x:v>Nike</x:v>
      </x:c>
      <x:c r="E145" s="21" t="str">
        <x:v>Vomero 5</x:v>
      </x:c>
      <x:c r="F145" s="21" t="str">
        <x:v>Photon Dust, Pink Foam, Metallic Silver, Light Orewood, Black</x:v>
      </x:c>
      <x:c r="G145" s="21" t="str">
        <x:v>Dama 35-40 / surtir 36-39</x:v>
      </x:c>
      <x:c r="H145" s="21" t="str">
        <x:v>Blancos, plataformas y runner silver tienen mucha salida.</x:v>
      </x:c>
      <x:c r="I145" s="21" t="str">
        <x:v>https://stockx.com/about/sx-market-insights/big-facts-current-culture-index-2026/</x:v>
      </x:c>
      <x:c r="J145" s="21" t="str">
        <x:v>https://www.nike.com/w?q=Nike%20Vomero%205</x:v>
      </x:c>
    </x:row>
    <x:row r="146" ht="43.5" customHeight="1">
      <x:c r="A146" s="21" t="str">
        <x:v>Media</x:v>
      </x:c>
      <x:c r="B146" s="21" t="str">
        <x:v>Dama</x:v>
      </x:c>
      <x:c r="C146" s="21" t="str">
        <x:v>Dama tendencia / lifestyle premium</x:v>
      </x:c>
      <x:c r="D146" s="21" t="str">
        <x:v>Nike</x:v>
      </x:c>
      <x:c r="E146" s="21" t="str">
        <x:v>Cortez</x:v>
      </x:c>
      <x:c r="F146" s="21" t="str">
        <x:v>White/Red/Blue, Black/White, Pink, Yellow, Nylon Blue</x:v>
      </x:c>
      <x:c r="G146" s="21" t="str">
        <x:v>Dama 35-40 / surtir 36-39</x:v>
      </x:c>
      <x:c r="H146" s="21" t="str">
        <x:v>Blancos, plataformas y runner silver tienen mucha salida.</x:v>
      </x:c>
      <x:c r="I146" s="21" t="str">
        <x:v>https://stockx.com/about/sx-market-insights/big-facts-current-culture-index-2026/</x:v>
      </x:c>
      <x:c r="J146" s="21" t="str">
        <x:v>https://www.nike.com/w?q=Nike%20Cortez</x:v>
      </x:c>
    </x:row>
    <x:row r="147" ht="43.5" customHeight="1">
      <x:c r="A147" s="21" t="str">
        <x:v>Media</x:v>
      </x:c>
      <x:c r="B147" s="21" t="str">
        <x:v>Dama</x:v>
      </x:c>
      <x:c r="C147" s="21" t="str">
        <x:v>Dama tendencia / lifestyle premium</x:v>
      </x:c>
      <x:c r="D147" s="21" t="str">
        <x:v>Nike</x:v>
      </x:c>
      <x:c r="E147" s="21" t="str">
        <x:v>Shox R4/TL</x:v>
      </x:c>
      <x:c r="F147" s="21" t="str">
        <x:v>Silver, White, Black, Red, Orange</x:v>
      </x:c>
      <x:c r="G147" s="21" t="str">
        <x:v>Dama 35-40 / surtir 36-39</x:v>
      </x:c>
      <x:c r="H147" s="21" t="str">
        <x:v>Blancos, plataformas y runner silver tienen mucha salida.</x:v>
      </x:c>
      <x:c r="I147" s="21" t="str">
        <x:v>https://stockx.com/about/sx-market-insights/big-facts-current-culture-index-2026/</x:v>
      </x:c>
      <x:c r="J147" s="21" t="str">
        <x:v>https://www.nike.com/w?q=Nike%20Shox%20R4%2FTL</x:v>
      </x:c>
    </x:row>
    <x:row r="148" ht="43.5" customHeight="1">
      <x:c r="A148" s="21" t="str">
        <x:v>Alta</x:v>
      </x:c>
      <x:c r="B148" s="21" t="str">
        <x:v>Dama</x:v>
      </x:c>
      <x:c r="C148" s="21" t="str">
        <x:v>Dama tendencia / lifestyle premium</x:v>
      </x:c>
      <x:c r="D148" s="21" t="str">
        <x:v>Nike</x:v>
      </x:c>
      <x:c r="E148" s="21" t="str">
        <x:v>Sabrina 3</x:v>
      </x:c>
      <x:c r="F148" s="21" t="str">
        <x:v>Ivory/Black, Pink, Light Blue, Lavender, University Red</x:v>
      </x:c>
      <x:c r="G148" s="21" t="str">
        <x:v>Dama 35-40 / surtir 36-39</x:v>
      </x:c>
      <x:c r="H148" s="21" t="str">
        <x:v>Blancos, plataformas y runner silver tienen mucha salida.</x:v>
      </x:c>
      <x:c r="I148" s="21" t="str">
        <x:v>https://stockx.com/about/sx-market-insights/big-facts-current-culture-index-2026/</x:v>
      </x:c>
      <x:c r="J148" s="21" t="str">
        <x:v>https://www.nike.com/w?q=Nike%20Sabrina%203</x:v>
      </x:c>
    </x:row>
    <x:row r="149" ht="43.5" customHeight="1">
      <x:c r="A149" s="21" t="str">
        <x:v>Alta</x:v>
      </x:c>
      <x:c r="B149" s="21" t="str">
        <x:v>Dama</x:v>
      </x:c>
      <x:c r="C149" s="21" t="str">
        <x:v>Dama tendencia / lifestyle premium</x:v>
      </x:c>
      <x:c r="D149" s="21" t="str">
        <x:v>Nike</x:v>
      </x:c>
      <x:c r="E149" s="21" t="str">
        <x:v>A'ja Wilson A'One</x:v>
      </x:c>
      <x:c r="F149" s="21" t="str">
        <x:v>Cream/Black, Pink, Silver, Burgundy, White/Green</x:v>
      </x:c>
      <x:c r="G149" s="21" t="str">
        <x:v>Dama 35-40 / surtir 36-39</x:v>
      </x:c>
      <x:c r="H149" s="21" t="str">
        <x:v>Blancos, plataformas y runner silver tienen mucha salida.</x:v>
      </x:c>
      <x:c r="I149" s="21" t="str">
        <x:v>https://stockx.com/about/sx-market-insights/big-facts-current-culture-index-2026/</x:v>
      </x:c>
      <x:c r="J149" s="21" t="str">
        <x:v>https://www.nike.com/w?q=Nike%20A'ja%20Wilson%20A'One</x:v>
      </x:c>
    </x:row>
    <x:row r="150" ht="43.5" customHeight="1">
      <x:c r="A150" s="21" t="str">
        <x:v>Prueba</x:v>
      </x:c>
      <x:c r="B150" s="21" t="str">
        <x:v>Dama</x:v>
      </x:c>
      <x:c r="C150" s="21" t="str">
        <x:v>Dama tendencia / lifestyle premium</x:v>
      </x:c>
      <x:c r="D150" s="21" t="str">
        <x:v>Nike</x:v>
      </x:c>
      <x:c r="E150" s="21" t="str">
        <x:v>Jacquemus x Nike Moon / J Force</x:v>
      </x:c>
      <x:c r="F150" s="21" t="str">
        <x:v>White, Black, Silver, Red, Brown</x:v>
      </x:c>
      <x:c r="G150" s="21" t="str">
        <x:v>Dama 35-40 / surtir 36-39</x:v>
      </x:c>
      <x:c r="H150" s="21" t="str">
        <x:v>Blancos, plataformas y runner silver tienen mucha salida.</x:v>
      </x:c>
      <x:c r="I150" s="21" t="str">
        <x:v>https://stockx.com/about/sx-market-insights/big-facts-current-culture-index-2026/</x:v>
      </x:c>
      <x:c r="J150" s="21" t="str">
        <x:v>https://www.nike.com/w?q=Nike%20Jacquemus%20x%20Nike%20Moon%20%2F%20J%20Force</x:v>
      </x:c>
    </x:row>
    <x:row r="151" ht="43.5" customHeight="1">
      <x:c r="A151" s="21" t="str">
        <x:v>Alta</x:v>
      </x:c>
      <x:c r="B151" s="21" t="str">
        <x:v>Dama</x:v>
      </x:c>
      <x:c r="C151" s="21" t="str">
        <x:v>Dama tendencia / outdoor-fashion</x:v>
      </x:c>
      <x:c r="D151" s="21" t="str">
        <x:v>On</x:v>
      </x:c>
      <x:c r="E151" s="21" t="str">
        <x:v>Cloud 6</x:v>
      </x:c>
      <x:c r="F151" s="21" t="str">
        <x:v>All White, Black/White, Pearl, Navy, Fog</x:v>
      </x:c>
      <x:c r="G151" s="21" t="str">
        <x:v>Dama 35-40 / surtir 36-39</x:v>
      </x:c>
      <x:c r="H151" s="21" t="str">
        <x:v>Limpios, comodos y faciles para outfits de diario.</x:v>
      </x:c>
      <x:c r="I151" s="21" t="str">
        <x:v>https://www.whowhatwear.com/fashion/summer/summer-sneaker-trends-2026</x:v>
      </x:c>
      <x:c r="J151" s="21" t="str">
        <x:v>https://www.on.com/en-us/search?q=On%20Cloud%206</x:v>
      </x:c>
    </x:row>
    <x:row r="152" ht="43.5" customHeight="1">
      <x:c r="A152" s="21" t="str">
        <x:v>Alta</x:v>
      </x:c>
      <x:c r="B152" s="21" t="str">
        <x:v>Dama</x:v>
      </x:c>
      <x:c r="C152" s="21" t="str">
        <x:v>Dama tendencia / outdoor-fashion</x:v>
      </x:c>
      <x:c r="D152" s="21" t="str">
        <x:v>On</x:v>
      </x:c>
      <x:c r="E152" s="21" t="str">
        <x:v>Cloudmonster 2</x:v>
      </x:c>
      <x:c r="F152" s="21" t="str">
        <x:v>All White, Cream, Glacier, Black, Blue</x:v>
      </x:c>
      <x:c r="G152" s="21" t="str">
        <x:v>Dama 35-40 / surtir 36-39</x:v>
      </x:c>
      <x:c r="H152" s="21" t="str">
        <x:v>Limpios, comodos y faciles para outfits de diario.</x:v>
      </x:c>
      <x:c r="I152" s="21" t="str">
        <x:v>https://www.whowhatwear.com/fashion/summer/summer-sneaker-trends-2026</x:v>
      </x:c>
      <x:c r="J152" s="21" t="str">
        <x:v>https://www.on.com/en-us/search?q=On%20Cloudmonster%202</x:v>
      </x:c>
    </x:row>
    <x:row r="153" ht="43.5" customHeight="1">
      <x:c r="A153" s="21" t="str">
        <x:v>Alta</x:v>
      </x:c>
      <x:c r="B153" s="21" t="str">
        <x:v>Dama</x:v>
      </x:c>
      <x:c r="C153" s="21" t="str">
        <x:v>Dama tendencia / outdoor-fashion</x:v>
      </x:c>
      <x:c r="D153" s="21" t="str">
        <x:v>On</x:v>
      </x:c>
      <x:c r="E153" s="21" t="str">
        <x:v>Cloudsurfer</x:v>
      </x:c>
      <x:c r="F153" s="21" t="str">
        <x:v>Pearl/Ivory, White/Black, Glacier Grey, Blue, Black</x:v>
      </x:c>
      <x:c r="G153" s="21" t="str">
        <x:v>Dama 35-40 / surtir 36-39</x:v>
      </x:c>
      <x:c r="H153" s="21" t="str">
        <x:v>Limpios, comodos y faciles para outfits de diario.</x:v>
      </x:c>
      <x:c r="I153" s="21" t="str">
        <x:v>https://www.whowhatwear.com/fashion/summer/summer-sneaker-trends-2026</x:v>
      </x:c>
      <x:c r="J153" s="21" t="str">
        <x:v>https://www.on.com/en-us/search?q=On%20Cloudsurfer</x:v>
      </x:c>
    </x:row>
    <x:row r="154" ht="43.5" customHeight="1">
      <x:c r="A154" s="21" t="str">
        <x:v>Alta</x:v>
      </x:c>
      <x:c r="B154" s="21" t="str">
        <x:v>Dama</x:v>
      </x:c>
      <x:c r="C154" s="21" t="str">
        <x:v>Dama tendencia / outdoor-fashion</x:v>
      </x:c>
      <x:c r="D154" s="21" t="str">
        <x:v>On</x:v>
      </x:c>
      <x:c r="E154" s="21" t="str">
        <x:v>Cloudtilt / Loewe x On</x:v>
      </x:c>
      <x:c r="F154" s="21" t="str">
        <x:v>White, Sand, Green, All Black, Grey</x:v>
      </x:c>
      <x:c r="G154" s="21" t="str">
        <x:v>Dama 35-40 / surtir 36-39</x:v>
      </x:c>
      <x:c r="H154" s="21" t="str">
        <x:v>Limpios, comodos y faciles para outfits de diario.</x:v>
      </x:c>
      <x:c r="I154" s="21" t="str">
        <x:v>https://www.whowhatwear.com/fashion/summer/summer-sneaker-trends-2026</x:v>
      </x:c>
      <x:c r="J154" s="21" t="str">
        <x:v>https://www.on.com/en-us/search?q=On%20Cloudtilt%20%2F%20Loewe%20x%20On</x:v>
      </x:c>
    </x:row>
    <x:row r="155" ht="43.5" customHeight="1">
      <x:c r="A155" s="21" t="str">
        <x:v>Media</x:v>
      </x:c>
      <x:c r="B155" s="21" t="str">
        <x:v>Dama</x:v>
      </x:c>
      <x:c r="C155" s="21" t="str">
        <x:v>Dama tendencia / outdoor-fashion</x:v>
      </x:c>
      <x:c r="D155" s="21" t="str">
        <x:v>On</x:v>
      </x:c>
      <x:c r="E155" s="21" t="str">
        <x:v>The Roger</x:v>
      </x:c>
      <x:c r="F155" s="21" t="str">
        <x:v>White/Gum, White/Navy, Cream, Black, Pink</x:v>
      </x:c>
      <x:c r="G155" s="21" t="str">
        <x:v>Dama 35-40 / surtir 36-39</x:v>
      </x:c>
      <x:c r="H155" s="21" t="str">
        <x:v>Limpios, comodos y faciles para outfits de diario.</x:v>
      </x:c>
      <x:c r="I155" s="21" t="str">
        <x:v>https://www.whowhatwear.com/fashion/summer/summer-sneaker-trends-2026</x:v>
      </x:c>
      <x:c r="J155" s="21" t="str">
        <x:v>https://www.on.com/en-us/search?q=On%20The%20Roger</x:v>
      </x:c>
    </x:row>
    <x:row r="156" ht="43.5" customHeight="1">
      <x:c r="A156" s="21" t="str">
        <x:v>Alta</x:v>
      </x:c>
      <x:c r="B156" s="21" t="str">
        <x:v>Dama</x:v>
      </x:c>
      <x:c r="C156" s="21" t="str">
        <x:v>Dama tendencia / casual</x:v>
      </x:c>
      <x:c r="D156" s="21" t="str">
        <x:v>PUMA</x:v>
      </x:c>
      <x:c r="E156" s="21" t="str">
        <x:v>Speedcat OG</x:v>
      </x:c>
      <x:c r="F156" s="21" t="str">
        <x:v>Red/White, Black/White, Brown, Pink, Silver</x:v>
      </x:c>
      <x:c r="G156" s="21" t="str">
        <x:v>Dama 35-40 / surtir 36-39</x:v>
      </x:c>
      <x:c r="H156" s="21" t="str">
        <x:v>Speedcat y bajos de futbol se ven muy actuales.</x:v>
      </x:c>
      <x:c r="I156" s="21" t="str">
        <x:v>https://www.whowhatwear.com/fashion/summer/summer-sneaker-trends-2026</x:v>
      </x:c>
      <x:c r="J156" s="21" t="str">
        <x:v>https://us.puma.com/us/en/search?q=PUMA%20Speedcat%20OG</x:v>
      </x:c>
    </x:row>
    <x:row r="157" ht="43.5" customHeight="1">
      <x:c r="A157" s="21" t="str">
        <x:v>Media</x:v>
      </x:c>
      <x:c r="B157" s="21" t="str">
        <x:v>Dama</x:v>
      </x:c>
      <x:c r="C157" s="21" t="str">
        <x:v>Dama tendencia / casual</x:v>
      </x:c>
      <x:c r="D157" s="21" t="str">
        <x:v>PUMA</x:v>
      </x:c>
      <x:c r="E157" s="21" t="str">
        <x:v>Palermo</x:v>
      </x:c>
      <x:c r="F157" s="21" t="str">
        <x:v>Green/Gum, Blue/Gum, Pink, Red, Cream</x:v>
      </x:c>
      <x:c r="G157" s="21" t="str">
        <x:v>Dama 35-40 / surtir 36-39</x:v>
      </x:c>
      <x:c r="H157" s="21" t="str">
        <x:v>Speedcat y bajos de futbol se ven muy actuales.</x:v>
      </x:c>
      <x:c r="I157" s="21" t="str">
        <x:v>https://www.whowhatwear.com/fashion/summer/summer-sneaker-trends-2026</x:v>
      </x:c>
      <x:c r="J157" s="21" t="str">
        <x:v>https://us.puma.com/us/en/search?q=PUMA%20Palermo</x:v>
      </x:c>
    </x:row>
    <x:row r="158" ht="43.5" customHeight="1">
      <x:c r="A158" s="21" t="str">
        <x:v>Prueba</x:v>
      </x:c>
      <x:c r="B158" s="21" t="str">
        <x:v>Dama</x:v>
      </x:c>
      <x:c r="C158" s="21" t="str">
        <x:v>Dama tendencia / casual</x:v>
      </x:c>
      <x:c r="D158" s="21" t="str">
        <x:v>PUMA</x:v>
      </x:c>
      <x:c r="E158" s="21" t="str">
        <x:v>Mostro</x:v>
      </x:c>
      <x:c r="F158" s="21" t="str">
        <x:v>Silver, Black, Yellow, Red, White</x:v>
      </x:c>
      <x:c r="G158" s="21" t="str">
        <x:v>Dama 35-40 / surtir 36-39</x:v>
      </x:c>
      <x:c r="H158" s="21" t="str">
        <x:v>Speedcat y bajos de futbol se ven muy actuales.</x:v>
      </x:c>
      <x:c r="I158" s="21" t="str">
        <x:v>https://www.whowhatwear.com/fashion/summer/summer-sneaker-trends-2026</x:v>
      </x:c>
      <x:c r="J158" s="21" t="str">
        <x:v>https://us.puma.com/us/en/search?q=PUMA%20Mostro</x:v>
      </x:c>
    </x:row>
    <x:row r="159" ht="43.5" customHeight="1">
      <x:c r="A159" s="21" t="str">
        <x:v>Media</x:v>
      </x:c>
      <x:c r="B159" s="21" t="str">
        <x:v>Dama</x:v>
      </x:c>
      <x:c r="C159" s="21" t="str">
        <x:v>Dama tendencia / casual</x:v>
      </x:c>
      <x:c r="D159" s="21" t="str">
        <x:v>PUMA</x:v>
      </x:c>
      <x:c r="E159" s="21" t="str">
        <x:v>Suede XL</x:v>
      </x:c>
      <x:c r="F159" s="21" t="str">
        <x:v>Pink, Black/White, Green, Navy, Beige</x:v>
      </x:c>
      <x:c r="G159" s="21" t="str">
        <x:v>Dama 35-40 / surtir 36-39</x:v>
      </x:c>
      <x:c r="H159" s="21" t="str">
        <x:v>Speedcat y bajos de futbol se ven muy actuales.</x:v>
      </x:c>
      <x:c r="I159" s="21" t="str">
        <x:v>https://www.whowhatwear.com/fashion/summer/summer-sneaker-trends-2026</x:v>
      </x:c>
      <x:c r="J159" s="21" t="str">
        <x:v>https://us.puma.com/us/en/search?q=PUMA%20Suede%20XL</x:v>
      </x:c>
    </x:row>
    <x:row r="160" ht="43.5" customHeight="1">
      <x:c r="A160" s="21" t="str">
        <x:v>Alta</x:v>
      </x:c>
      <x:c r="B160" s="21" t="str">
        <x:v>Dama</x:v>
      </x:c>
      <x:c r="C160" s="21" t="str">
        <x:v>Dama tendencia / casual</x:v>
      </x:c>
      <x:c r="D160" s="21" t="str">
        <x:v>Vans</x:v>
      </x:c>
      <x:c r="E160" s="21" t="str">
        <x:v>Old Skool 36</x:v>
      </x:c>
      <x:c r="F160" s="21" t="str">
        <x:v>Black/White, Gum, Navy, Checkerboard, Leopard</x:v>
      </x:c>
      <x:c r="G160" s="21" t="str">
        <x:v>Dama 35-40 / surtir 36-39</x:v>
      </x:c>
      <x:c r="H160" s="21" t="str">
        <x:v>Skate, checkerboard y minimalismo blanco/negro.</x:v>
      </x:c>
      <x:c r="I160" s="21" t="str">
        <x:v>https://www.whowhatwear.com/fashion/summer/summer-sneaker-trends-2026</x:v>
      </x:c>
      <x:c r="J160" s="21" t="str">
        <x:v>https://www.vans.com/en-us/search/product?q=Vans%20Old%20Skool%2036</x:v>
      </x:c>
    </x:row>
    <x:row r="161" ht="43.5" customHeight="1">
      <x:c r="A161" s="21" t="str">
        <x:v>Media</x:v>
      </x:c>
      <x:c r="B161" s="21" t="str">
        <x:v>Dama</x:v>
      </x:c>
      <x:c r="C161" s="21" t="str">
        <x:v>Dama tendencia / casual</x:v>
      </x:c>
      <x:c r="D161" s="21" t="str">
        <x:v>Vans</x:v>
      </x:c>
      <x:c r="E161" s="21" t="str">
        <x:v>Slip-On Classic</x:v>
      </x:c>
      <x:c r="F161" s="21" t="str">
        <x:v>Checkerboard, Black, White, Leopard, Red</x:v>
      </x:c>
      <x:c r="G161" s="21" t="str">
        <x:v>Dama 35-40 / surtir 36-39</x:v>
      </x:c>
      <x:c r="H161" s="21" t="str">
        <x:v>Skate, checkerboard y minimalismo blanco/negro.</x:v>
      </x:c>
      <x:c r="I161" s="21" t="str">
        <x:v>https://www.whowhatwear.com/fashion/summer/summer-sneaker-trends-2026</x:v>
      </x:c>
      <x:c r="J161" s="21" t="str">
        <x:v>https://www.vans.com/en-us/search/product?q=Vans%20Slip-On%20Classic</x:v>
      </x:c>
    </x:row>
    <x:row r="162" ht="43.5" customHeight="1">
      <x:c r="A162" s="21" t="str">
        <x:v>Media</x:v>
      </x:c>
      <x:c r="B162" s="21" t="str">
        <x:v>Dama</x:v>
      </x:c>
      <x:c r="C162" s="21" t="str">
        <x:v>Dama tendencia / casual</x:v>
      </x:c>
      <x:c r="D162" s="21" t="str">
        <x:v>Vans</x:v>
      </x:c>
      <x:c r="E162" s="21" t="str">
        <x:v>Mary Jane / Sport Low</x:v>
      </x:c>
      <x:c r="F162" s="21" t="str">
        <x:v>Black, White, Red, Silver, Leopard</x:v>
      </x:c>
      <x:c r="G162" s="21" t="str">
        <x:v>Dama 35-40 / surtir 36-39</x:v>
      </x:c>
      <x:c r="H162" s="21" t="str">
        <x:v>Skate, checkerboard y minimalismo blanco/negro.</x:v>
      </x:c>
      <x:c r="I162" s="21" t="str">
        <x:v>https://www.whowhatwear.com/fashion/summer/summer-sneaker-trends-2026</x:v>
      </x:c>
      <x:c r="J162" s="21" t="str">
        <x:v>https://www.vans.com/en-us/search/product?q=Vans%20Mary%20Jane%20%2F%20Sport%20Low</x:v>
      </x:c>
    </x:row>
    <x:row r="163" ht="43.5" customHeight="1">
      <x:c r="A163" s="21" t="str">
        <x:v>Prueba</x:v>
      </x:c>
      <x:c r="B163" s="21" t="str">
        <x:v>Dama</x:v>
      </x:c>
      <x:c r="C163" s="21" t="str">
        <x:v>Dama tendencia / casual</x:v>
      </x:c>
      <x:c r="D163" s="21" t="str">
        <x:v>Vans</x:v>
      </x:c>
      <x:c r="E163" s="21" t="str">
        <x:v>Knu Skool</x:v>
      </x:c>
      <x:c r="F163" s="21" t="str">
        <x:v>Black/White, Pink, Brown, Checkerboard, Navy</x:v>
      </x:c>
      <x:c r="G163" s="21" t="str">
        <x:v>Dama 35-40 / surtir 36-39</x:v>
      </x:c>
      <x:c r="H163" s="21" t="str">
        <x:v>Skate, checkerboard y minimalismo blanco/negro.</x:v>
      </x:c>
      <x:c r="I163" s="21" t="str">
        <x:v>https://www.whowhatwear.com/fashion/summer/summer-sneaker-trends-2026</x:v>
      </x:c>
      <x:c r="J163" s="21" t="str">
        <x:v>https://www.vans.com/en-us/search/product?q=Vans%20Knu%20Skool</x:v>
      </x:c>
    </x:row>
    <x:row r="164" ht="43.5" customHeight="1">
      <x:c r="A164" s="21" t="str">
        <x:v>Alta</x:v>
      </x:c>
      <x:c r="B164" s="21" t="str">
        <x:v>Dama</x:v>
      </x:c>
      <x:c r="C164" s="21" t="str">
        <x:v>Dama tendencia / casual</x:v>
      </x:c>
      <x:c r="D164" s="21" t="str">
        <x:v>Converse</x:v>
      </x:c>
      <x:c r="E164" s="21" t="str">
        <x:v>Chuck Taylor All Star High</x:v>
      </x:c>
      <x:c r="F164" s="21" t="str">
        <x:v>Black, Optical White, Red, Navy, Cream</x:v>
      </x:c>
      <x:c r="G164" s="21" t="str">
        <x:v>Dama 35-40 / surtir 36-39</x:v>
      </x:c>
      <x:c r="H164" s="21" t="str">
        <x:v>High-top y plataforma siguen buenos para regalo.</x:v>
      </x:c>
      <x:c r="I164" s="21" t="str">
        <x:v>https://www.whowhatwear.com/fashion/summer/summer-sneaker-trends-2026</x:v>
      </x:c>
      <x:c r="J164" s="21" t="str">
        <x:v>https://www.converse.com/search?q=Converse%20Chuck%20Taylor%20All%20Star%20High</x:v>
      </x:c>
    </x:row>
    <x:row r="165" ht="43.5" customHeight="1">
      <x:c r="A165" s="21" t="str">
        <x:v>Alta</x:v>
      </x:c>
      <x:c r="B165" s="21" t="str">
        <x:v>Dama</x:v>
      </x:c>
      <x:c r="C165" s="21" t="str">
        <x:v>Dama tendencia / casual</x:v>
      </x:c>
      <x:c r="D165" s="21" t="str">
        <x:v>Converse</x:v>
      </x:c>
      <x:c r="E165" s="21" t="str">
        <x:v>Chuck 70 High</x:v>
      </x:c>
      <x:c r="F165" s="21" t="str">
        <x:v>Black, Parchment, Egret, Burgundy, Brown</x:v>
      </x:c>
      <x:c r="G165" s="21" t="str">
        <x:v>Dama 35-40 / surtir 36-39</x:v>
      </x:c>
      <x:c r="H165" s="21" t="str">
        <x:v>High-top y plataforma siguen buenos para regalo.</x:v>
      </x:c>
      <x:c r="I165" s="21" t="str">
        <x:v>https://www.whowhatwear.com/fashion/summer/summer-sneaker-trends-2026</x:v>
      </x:c>
      <x:c r="J165" s="21" t="str">
        <x:v>https://www.converse.com/search?q=Converse%20Chuck%2070%20High</x:v>
      </x:c>
    </x:row>
    <x:row r="166" ht="43.5" customHeight="1">
      <x:c r="A166" s="21" t="str">
        <x:v>Media</x:v>
      </x:c>
      <x:c r="B166" s="21" t="str">
        <x:v>Dama</x:v>
      </x:c>
      <x:c r="C166" s="21" t="str">
        <x:v>Dama tendencia / casual</x:v>
      </x:c>
      <x:c r="D166" s="21" t="str">
        <x:v>Converse</x:v>
      </x:c>
      <x:c r="E166" s="21" t="str">
        <x:v>Run Star Hike / Legacy CX</x:v>
      </x:c>
      <x:c r="F166" s="21" t="str">
        <x:v>Black, White, Platform Cream, Pink, Red</x:v>
      </x:c>
      <x:c r="G166" s="21" t="str">
        <x:v>Dama 35-40 / surtir 36-39</x:v>
      </x:c>
      <x:c r="H166" s="21" t="str">
        <x:v>High-top y plataforma siguen buenos para regalo.</x:v>
      </x:c>
      <x:c r="I166" s="21" t="str">
        <x:v>https://www.whowhatwear.com/fashion/summer/summer-sneaker-trends-2026</x:v>
      </x:c>
      <x:c r="J166" s="21" t="str">
        <x:v>https://www.converse.com/search?q=Converse%20Run%20Star%20Hike%20%2F%20Legacy%20CX</x:v>
      </x:c>
    </x:row>
    <x:row r="167" ht="43.5" customHeight="1">
      <x:c r="A167" s="21" t="str">
        <x:v>Media</x:v>
      </x:c>
      <x:c r="B167" s="21" t="str">
        <x:v>Dama</x:v>
      </x:c>
      <x:c r="C167" s="21" t="str">
        <x:v>Dama tendencia / casual</x:v>
      </x:c>
      <x:c r="D167" s="21" t="str">
        <x:v>Converse</x:v>
      </x:c>
      <x:c r="E167" s="21" t="str">
        <x:v>Chuck Taylor Lift Platform</x:v>
      </x:c>
      <x:c r="F167" s="21" t="str">
        <x:v>White, Black, Pink, Cream, Glitter/Silver</x:v>
      </x:c>
      <x:c r="G167" s="21" t="str">
        <x:v>Dama 35-40 / surtir 36-39</x:v>
      </x:c>
      <x:c r="H167" s="21" t="str">
        <x:v>High-top y plataforma siguen buenos para regalo.</x:v>
      </x:c>
      <x:c r="I167" s="21" t="str">
        <x:v>https://www.whowhatwear.com/fashion/summer/summer-sneaker-trends-2026</x:v>
      </x:c>
      <x:c r="J167" s="21" t="str">
        <x:v>https://www.converse.com/search?q=Converse%20Chuck%20Taylor%20Lift%20Platform</x:v>
      </x:c>
    </x:row>
    <x:row r="168" ht="43.5" customHeight="1">
      <x:c r="A168" s="21" t="str">
        <x:v>Prueba</x:v>
      </x:c>
      <x:c r="B168" s="21" t="str">
        <x:v>Dama</x:v>
      </x:c>
      <x:c r="C168" s="21" t="str">
        <x:v>Dama tendencia / casual</x:v>
      </x:c>
      <x:c r="D168" s="21" t="str">
        <x:v>Converse</x:v>
      </x:c>
      <x:c r="E168" s="21" t="str">
        <x:v>One Star</x:v>
      </x:c>
      <x:c r="F168" s="21" t="str">
        <x:v>Black, Brown Suede, Navy, Green, Pink</x:v>
      </x:c>
      <x:c r="G168" s="21" t="str">
        <x:v>Dama 35-40 / surtir 36-39</x:v>
      </x:c>
      <x:c r="H168" s="21" t="str">
        <x:v>High-top y plataforma siguen buenos para regalo.</x:v>
      </x:c>
      <x:c r="I168" s="21" t="str">
        <x:v>https://www.whowhatwear.com/fashion/summer/summer-sneaker-trends-2026</x:v>
      </x:c>
      <x:c r="J168" s="21" t="str">
        <x:v>https://www.converse.com/search?q=Converse%20One%20Star</x:v>
      </x:c>
    </x:row>
    <x:row r="169" ht="43.5" customHeight="1">
      <x:c r="A169" s="21" t="str">
        <x:v>Alta</x:v>
      </x:c>
      <x:c r="B169" s="21" t="str">
        <x:v>Nino</x:v>
      </x:c>
      <x:c r="C169" s="21" t="str">
        <x:v>Back-to-school / full family</x:v>
      </x:c>
      <x:c r="D169" s="21" t="str">
        <x:v>Nike</x:v>
      </x:c>
      <x:c r="E169" s="21" t="str">
        <x:v>Kids Air Force 1 Low EasyOn</x:v>
      </x:c>
      <x:c r="F169" s="21" t="str">
        <x:v>Triple White, White/Black, Black, White/Pink, White/Blue</x:v>
      </x:c>
      <x:c r="G169" s="21" t="str">
        <x:v>Kids 21-38 / Big kids 35-40</x:v>
      </x:c>
      <x:c r="H169" s="21" t="str">
        <x:v>Escolar y regalo: velcro/easy-on para pequeños, hype para grandes.</x:v>
      </x:c>
      <x:c r="I169" s="21" t="str">
        <x:v>https://www.nordstrom.com/browse/back-to-school/shoes</x:v>
      </x:c>
      <x:c r="J169" s="21" t="str">
        <x:v>https://www.nike.com/w?q=Nike%20Kids%20Air%20Force%201%20Low%20EasyOn</x:v>
      </x:c>
    </x:row>
    <x:row r="170" ht="43.5" customHeight="1">
      <x:c r="A170" s="21" t="str">
        <x:v>Alta</x:v>
      </x:c>
      <x:c r="B170" s="21" t="str">
        <x:v>Nino</x:v>
      </x:c>
      <x:c r="C170" s="21" t="str">
        <x:v>Back-to-school / full family</x:v>
      </x:c>
      <x:c r="D170" s="21" t="str">
        <x:v>Nike</x:v>
      </x:c>
      <x:c r="E170" s="21" t="str">
        <x:v>Kids Dunk Low</x:v>
      </x:c>
      <x:c r="F170" s="21" t="str">
        <x:v>Panda, Grey Fog, University Blue, Pink, Green</x:v>
      </x:c>
      <x:c r="G170" s="21" t="str">
        <x:v>Kids 21-38 / Big kids 35-40</x:v>
      </x:c>
      <x:c r="H170" s="21" t="str">
        <x:v>Escolar y regalo: velcro/easy-on para pequeños, hype para grandes.</x:v>
      </x:c>
      <x:c r="I170" s="21" t="str">
        <x:v>https://www.nordstrom.com/browse/back-to-school/shoes</x:v>
      </x:c>
      <x:c r="J170" s="21" t="str">
        <x:v>https://www.nike.com/w?q=Nike%20Kids%20Dunk%20Low</x:v>
      </x:c>
    </x:row>
    <x:row r="171" ht="43.5" customHeight="1">
      <x:c r="A171" s="21" t="str">
        <x:v>Alta</x:v>
      </x:c>
      <x:c r="B171" s="21" t="str">
        <x:v>Nino</x:v>
      </x:c>
      <x:c r="C171" s="21" t="str">
        <x:v>Back-to-school / full family</x:v>
      </x:c>
      <x:c r="D171" s="21" t="str">
        <x:v>Nike</x:v>
      </x:c>
      <x:c r="E171" s="21" t="str">
        <x:v>Kids Vomero 5</x:v>
      </x:c>
      <x:c r="F171" s="21" t="str">
        <x:v>White/Silver, Black, Pink, Blue, Grey</x:v>
      </x:c>
      <x:c r="G171" s="21" t="str">
        <x:v>Kids 21-38 / Big kids 35-40</x:v>
      </x:c>
      <x:c r="H171" s="21" t="str">
        <x:v>Escolar y regalo: velcro/easy-on para pequeños, hype para grandes.</x:v>
      </x:c>
      <x:c r="I171" s="21" t="str">
        <x:v>https://www.nordstrom.com/browse/back-to-school/shoes</x:v>
      </x:c>
      <x:c r="J171" s="21" t="str">
        <x:v>https://www.nike.com/w?q=Nike%20Kids%20Vomero%205</x:v>
      </x:c>
    </x:row>
    <x:row r="172" ht="43.5" customHeight="1">
      <x:c r="A172" s="21" t="str">
        <x:v>Alta</x:v>
      </x:c>
      <x:c r="B172" s="21" t="str">
        <x:v>Nino</x:v>
      </x:c>
      <x:c r="C172" s="21" t="str">
        <x:v>Back-to-school / full family</x:v>
      </x:c>
      <x:c r="D172" s="21" t="str">
        <x:v>Nike</x:v>
      </x:c>
      <x:c r="E172" s="21" t="str">
        <x:v>Kids P-6000</x:v>
      </x:c>
      <x:c r="F172" s="21" t="str">
        <x:v>Silver, White/Black, Pink, Blue, Black</x:v>
      </x:c>
      <x:c r="G172" s="21" t="str">
        <x:v>Kids 21-38 / Big kids 35-40</x:v>
      </x:c>
      <x:c r="H172" s="21" t="str">
        <x:v>Escolar y regalo: velcro/easy-on para pequeños, hype para grandes.</x:v>
      </x:c>
      <x:c r="I172" s="21" t="str">
        <x:v>https://www.nordstrom.com/browse/back-to-school/shoes</x:v>
      </x:c>
      <x:c r="J172" s="21" t="str">
        <x:v>https://www.nike.com/w?q=Nike%20Kids%20P-6000</x:v>
      </x:c>
    </x:row>
    <x:row r="173" ht="43.5" customHeight="1">
      <x:c r="A173" s="21" t="str">
        <x:v>Media</x:v>
      </x:c>
      <x:c r="B173" s="21" t="str">
        <x:v>Nino</x:v>
      </x:c>
      <x:c r="C173" s="21" t="str">
        <x:v>Back-to-school / full family</x:v>
      </x:c>
      <x:c r="D173" s="21" t="str">
        <x:v>Nike</x:v>
      </x:c>
      <x:c r="E173" s="21" t="str">
        <x:v>Kids Shox TL</x:v>
      </x:c>
      <x:c r="F173" s="21" t="str">
        <x:v>Black/Silver, White/Silver, Pink, Orange</x:v>
      </x:c>
      <x:c r="G173" s="21" t="str">
        <x:v>Kids 21-38 / Big kids 35-40</x:v>
      </x:c>
      <x:c r="H173" s="21" t="str">
        <x:v>Escolar y regalo: velcro/easy-on para pequeños, hype para grandes.</x:v>
      </x:c>
      <x:c r="I173" s="21" t="str">
        <x:v>https://www.nordstrom.com/browse/back-to-school/shoes</x:v>
      </x:c>
      <x:c r="J173" s="21" t="str">
        <x:v>https://www.nike.com/w?q=Nike%20Kids%20Shox%20TL</x:v>
      </x:c>
    </x:row>
    <x:row r="174" ht="43.5" customHeight="1">
      <x:c r="A174" s="21" t="str">
        <x:v>Media</x:v>
      </x:c>
      <x:c r="B174" s="21" t="str">
        <x:v>Nino</x:v>
      </x:c>
      <x:c r="C174" s="21" t="str">
        <x:v>Back-to-school / full family</x:v>
      </x:c>
      <x:c r="D174" s="21" t="str">
        <x:v>Nike</x:v>
      </x:c>
      <x:c r="E174" s="21" t="str">
        <x:v>Kids Air Max 270</x:v>
      </x:c>
      <x:c r="F174" s="21" t="str">
        <x:v>Black/White, White, Blue, Pink, Red</x:v>
      </x:c>
      <x:c r="G174" s="21" t="str">
        <x:v>Kids 21-38 / Big kids 35-40</x:v>
      </x:c>
      <x:c r="H174" s="21" t="str">
        <x:v>Escolar y regalo: velcro/easy-on para pequeños, hype para grandes.</x:v>
      </x:c>
      <x:c r="I174" s="21" t="str">
        <x:v>https://www.nordstrom.com/browse/back-to-school/shoes</x:v>
      </x:c>
      <x:c r="J174" s="21" t="str">
        <x:v>https://www.nike.com/w?q=Nike%20Kids%20Air%20Max%20270</x:v>
      </x:c>
    </x:row>
    <x:row r="175" ht="43.5" customHeight="1">
      <x:c r="A175" s="21" t="str">
        <x:v>Media</x:v>
      </x:c>
      <x:c r="B175" s="21" t="str">
        <x:v>Nino</x:v>
      </x:c>
      <x:c r="C175" s="21" t="str">
        <x:v>Back-to-school / full family</x:v>
      </x:c>
      <x:c r="D175" s="21" t="str">
        <x:v>Nike</x:v>
      </x:c>
      <x:c r="E175" s="21" t="str">
        <x:v>Kids Air Max 90</x:v>
      </x:c>
      <x:c r="F175" s="21" t="str">
        <x:v>Infrared, White/Black, Pink, Blue, Grey</x:v>
      </x:c>
      <x:c r="G175" s="21" t="str">
        <x:v>Kids 21-38 / Big kids 35-40</x:v>
      </x:c>
      <x:c r="H175" s="21" t="str">
        <x:v>Escolar y regalo: velcro/easy-on para pequeños, hype para grandes.</x:v>
      </x:c>
      <x:c r="I175" s="21" t="str">
        <x:v>https://www.nordstrom.com/browse/back-to-school/shoes</x:v>
      </x:c>
      <x:c r="J175" s="21" t="str">
        <x:v>https://www.nike.com/w?q=Nike%20Kids%20Air%20Max%2090</x:v>
      </x:c>
    </x:row>
    <x:row r="176" ht="43.5" customHeight="1">
      <x:c r="A176" s="21" t="str">
        <x:v>Media</x:v>
      </x:c>
      <x:c r="B176" s="21" t="str">
        <x:v>Nino</x:v>
      </x:c>
      <x:c r="C176" s="21" t="str">
        <x:v>Back-to-school / full family</x:v>
      </x:c>
      <x:c r="D176" s="21" t="str">
        <x:v>Nike</x:v>
      </x:c>
      <x:c r="E176" s="21" t="str">
        <x:v>Kids Court Borough Low</x:v>
      </x:c>
      <x:c r="F176" s="21" t="str">
        <x:v>White/Black, White/Pink, Black, Red, Blue</x:v>
      </x:c>
      <x:c r="G176" s="21" t="str">
        <x:v>Kids 21-38 / Big kids 35-40</x:v>
      </x:c>
      <x:c r="H176" s="21" t="str">
        <x:v>Escolar y regalo: velcro/easy-on para pequeños, hype para grandes.</x:v>
      </x:c>
      <x:c r="I176" s="21" t="str">
        <x:v>https://www.nordstrom.com/browse/back-to-school/shoes</x:v>
      </x:c>
      <x:c r="J176" s="21" t="str">
        <x:v>https://www.nike.com/w?q=Nike%20Kids%20Court%20Borough%20Low</x:v>
      </x:c>
    </x:row>
    <x:row r="177" ht="43.5" customHeight="1">
      <x:c r="A177" s="21" t="str">
        <x:v>Media</x:v>
      </x:c>
      <x:c r="B177" s="21" t="str">
        <x:v>Nino</x:v>
      </x:c>
      <x:c r="C177" s="21" t="str">
        <x:v>Back-to-school / full family</x:v>
      </x:c>
      <x:c r="D177" s="21" t="str">
        <x:v>Nike</x:v>
      </x:c>
      <x:c r="E177" s="21" t="str">
        <x:v>Nike 23/7.2 EasyOn</x:v>
      </x:c>
      <x:c r="F177" s="21" t="str">
        <x:v>Black/White, Pink, Blue, Grey, Red</x:v>
      </x:c>
      <x:c r="G177" s="21" t="str">
        <x:v>Kids 21-38 / Big kids 35-40</x:v>
      </x:c>
      <x:c r="H177" s="21" t="str">
        <x:v>Escolar y regalo: velcro/easy-on para pequeños, hype para grandes.</x:v>
      </x:c>
      <x:c r="I177" s="21" t="str">
        <x:v>https://www.nordstrom.com/browse/back-to-school/shoes</x:v>
      </x:c>
      <x:c r="J177" s="21" t="str">
        <x:v>https://www.nike.com/w?q=Nike%20Nike%2023%2F7.2%20EasyOn</x:v>
      </x:c>
    </x:row>
    <x:row r="178" ht="43.5" customHeight="1">
      <x:c r="A178" s="21" t="str">
        <x:v>Prueba</x:v>
      </x:c>
      <x:c r="B178" s="21" t="str">
        <x:v>Nino</x:v>
      </x:c>
      <x:c r="C178" s="21" t="str">
        <x:v>Back-to-school / full family</x:v>
      </x:c>
      <x:c r="D178" s="21" t="str">
        <x:v>Nike</x:v>
      </x:c>
      <x:c r="E178" s="21" t="str">
        <x:v>Kids Ja / Sabrina / Team Hustle</x:v>
      </x:c>
      <x:c r="F178" s="21" t="str">
        <x:v>Black/Red, Blue, Pink, White/Black, Purple</x:v>
      </x:c>
      <x:c r="G178" s="21" t="str">
        <x:v>Kids 21-38 / Big kids 35-40</x:v>
      </x:c>
      <x:c r="H178" s="21" t="str">
        <x:v>Escolar y regalo: velcro/easy-on para pequeños, hype para grandes.</x:v>
      </x:c>
      <x:c r="I178" s="21" t="str">
        <x:v>https://www.nordstrom.com/browse/back-to-school/shoes</x:v>
      </x:c>
      <x:c r="J178" s="21" t="str">
        <x:v>https://www.nike.com/w?q=Nike%20Kids%20Ja%20%2F%20Sabrina%20%2F%20Team%20Hustle</x:v>
      </x:c>
    </x:row>
    <x:row r="179" ht="43.5" customHeight="1">
      <x:c r="A179" s="21" t="str">
        <x:v>Alta</x:v>
      </x:c>
      <x:c r="B179" s="21" t="str">
        <x:v>Nino</x:v>
      </x:c>
      <x:c r="C179" s="21" t="str">
        <x:v>Back-to-school / full family</x:v>
      </x:c>
      <x:c r="D179" s="21" t="str">
        <x:v>Jordan</x:v>
      </x:c>
      <x:c r="E179" s="21" t="str">
        <x:v>Kids Jordan 1 Low</x:v>
      </x:c>
      <x:c r="F179" s="21" t="str">
        <x:v>Panda, Chicago, University Blue, Pink, Black/Red</x:v>
      </x:c>
      <x:c r="G179" s="21" t="str">
        <x:v>Kids 21-38 / Big kids 35-40</x:v>
      </x:c>
      <x:c r="H179" s="21" t="str">
        <x:v>Jordan en nino funciona por regalo y familia completa.</x:v>
      </x:c>
      <x:c r="I179" s="21" t="str">
        <x:v>https://www.nordstrom.com/browse/back-to-school/shoes</x:v>
      </x:c>
      <x:c r="J179" s="21" t="str">
        <x:v>https://www.nike.com/w?q=Jordan%20Kids%20Jordan%201%20Low</x:v>
      </x:c>
    </x:row>
    <x:row r="180" ht="43.5" customHeight="1">
      <x:c r="A180" s="21" t="str">
        <x:v>Alta</x:v>
      </x:c>
      <x:c r="B180" s="21" t="str">
        <x:v>Nino</x:v>
      </x:c>
      <x:c r="C180" s="21" t="str">
        <x:v>Back-to-school / full family</x:v>
      </x:c>
      <x:c r="D180" s="21" t="str">
        <x:v>Jordan</x:v>
      </x:c>
      <x:c r="E180" s="21" t="str">
        <x:v>Kids Jordan 3 Retro</x:v>
      </x:c>
      <x:c r="F180" s="21" t="str">
        <x:v>White Cement, Black Cement, True Blue, Fire Red, Pink</x:v>
      </x:c>
      <x:c r="G180" s="21" t="str">
        <x:v>Kids 21-38 / Big kids 35-40</x:v>
      </x:c>
      <x:c r="H180" s="21" t="str">
        <x:v>Jordan en nino funciona por regalo y familia completa.</x:v>
      </x:c>
      <x:c r="I180" s="21" t="str">
        <x:v>https://www.nordstrom.com/browse/back-to-school/shoes</x:v>
      </x:c>
      <x:c r="J180" s="21" t="str">
        <x:v>https://www.nike.com/w?q=Jordan%20Kids%20Jordan%203%20Retro</x:v>
      </x:c>
    </x:row>
    <x:row r="181" ht="43.5" customHeight="1">
      <x:c r="A181" s="21" t="str">
        <x:v>Alta</x:v>
      </x:c>
      <x:c r="B181" s="21" t="str">
        <x:v>Nino</x:v>
      </x:c>
      <x:c r="C181" s="21" t="str">
        <x:v>Back-to-school / full family</x:v>
      </x:c>
      <x:c r="D181" s="21" t="str">
        <x:v>Jordan</x:v>
      </x:c>
      <x:c r="E181" s="21" t="str">
        <x:v>Kids Jordan 4 Retro</x:v>
      </x:c>
      <x:c r="F181" s="21" t="str">
        <x:v>Military Blue, Bred, White Cement, Thunder, Olive</x:v>
      </x:c>
      <x:c r="G181" s="21" t="str">
        <x:v>Kids 21-38 / Big kids 35-40</x:v>
      </x:c>
      <x:c r="H181" s="21" t="str">
        <x:v>Jordan en nino funciona por regalo y familia completa.</x:v>
      </x:c>
      <x:c r="I181" s="21" t="str">
        <x:v>https://www.nordstrom.com/browse/back-to-school/shoes</x:v>
      </x:c>
      <x:c r="J181" s="21" t="str">
        <x:v>https://www.nike.com/w?q=Jordan%20Kids%20Jordan%204%20Retro</x:v>
      </x:c>
    </x:row>
    <x:row r="182" ht="43.5" customHeight="1">
      <x:c r="A182" s="21" t="str">
        <x:v>Media</x:v>
      </x:c>
      <x:c r="B182" s="21" t="str">
        <x:v>Nino</x:v>
      </x:c>
      <x:c r="C182" s="21" t="str">
        <x:v>Back-to-school / full family</x:v>
      </x:c>
      <x:c r="D182" s="21" t="str">
        <x:v>Jordan</x:v>
      </x:c>
      <x:c r="E182" s="21" t="str">
        <x:v>Kids Jordan 5 Retro</x:v>
      </x:c>
      <x:c r="F182" s="21" t="str">
        <x:v>Wolf Grey, Grape, Fire Red, Black Metallic</x:v>
      </x:c>
      <x:c r="G182" s="21" t="str">
        <x:v>Kids 21-38 / Big kids 35-40</x:v>
      </x:c>
      <x:c r="H182" s="21" t="str">
        <x:v>Jordan en nino funciona por regalo y familia completa.</x:v>
      </x:c>
      <x:c r="I182" s="21" t="str">
        <x:v>https://www.nordstrom.com/browse/back-to-school/shoes</x:v>
      </x:c>
      <x:c r="J182" s="21" t="str">
        <x:v>https://www.nike.com/w?q=Jordan%20Kids%20Jordan%205%20Retro</x:v>
      </x:c>
    </x:row>
    <x:row r="183" ht="43.5" customHeight="1">
      <x:c r="A183" s="21" t="str">
        <x:v>Alta</x:v>
      </x:c>
      <x:c r="B183" s="21" t="str">
        <x:v>Nino</x:v>
      </x:c>
      <x:c r="C183" s="21" t="str">
        <x:v>Back-to-school / full family</x:v>
      </x:c>
      <x:c r="D183" s="21" t="str">
        <x:v>Jordan</x:v>
      </x:c>
      <x:c r="E183" s="21" t="str">
        <x:v>Kids Jordan Spizike Low</x:v>
      </x:c>
      <x:c r="F183" s="21" t="str">
        <x:v>Black/Red, White/Cement, University Blue, Pink</x:v>
      </x:c>
      <x:c r="G183" s="21" t="str">
        <x:v>Kids 21-38 / Big kids 35-40</x:v>
      </x:c>
      <x:c r="H183" s="21" t="str">
        <x:v>Jordan en nino funciona por regalo y familia completa.</x:v>
      </x:c>
      <x:c r="I183" s="21" t="str">
        <x:v>https://www.nordstrom.com/browse/back-to-school/shoes</x:v>
      </x:c>
      <x:c r="J183" s="21" t="str">
        <x:v>https://www.nike.com/w?q=Jordan%20Kids%20Jordan%20Spizike%20Low</x:v>
      </x:c>
    </x:row>
    <x:row r="184" ht="43.5" customHeight="1">
      <x:c r="A184" s="21" t="str">
        <x:v>Alta</x:v>
      </x:c>
      <x:c r="B184" s="21" t="str">
        <x:v>Nino</x:v>
      </x:c>
      <x:c r="C184" s="21" t="str">
        <x:v>Back-to-school / full family</x:v>
      </x:c>
      <x:c r="D184" s="21" t="str">
        <x:v>Jordan</x:v>
      </x:c>
      <x:c r="E184" s="21" t="str">
        <x:v>Kids Jordan 11 Low</x:v>
      </x:c>
      <x:c r="F184" s="21" t="str">
        <x:v>Concord, Bred, Cool Grey, Cherry, Legend Blue</x:v>
      </x:c>
      <x:c r="G184" s="21" t="str">
        <x:v>Kids 21-38 / Big kids 35-40</x:v>
      </x:c>
      <x:c r="H184" s="21" t="str">
        <x:v>Jordan en nino funciona por regalo y familia completa.</x:v>
      </x:c>
      <x:c r="I184" s="21" t="str">
        <x:v>https://www.nordstrom.com/browse/back-to-school/shoes</x:v>
      </x:c>
      <x:c r="J184" s="21" t="str">
        <x:v>https://www.nike.com/w?q=Jordan%20Kids%20Jordan%2011%20Low</x:v>
      </x:c>
    </x:row>
    <x:row r="185" ht="43.5" customHeight="1">
      <x:c r="A185" s="21" t="str">
        <x:v>Alta</x:v>
      </x:c>
      <x:c r="B185" s="21" t="str">
        <x:v>Nino</x:v>
      </x:c>
      <x:c r="C185" s="21" t="str">
        <x:v>Back-to-school / terrace</x:v>
      </x:c>
      <x:c r="D185" s="21" t="str">
        <x:v>adidas</x:v>
      </x:c>
      <x:c r="E185" s="21" t="str">
        <x:v>Kids Samba OG</x:v>
      </x:c>
      <x:c r="F185" s="21" t="str">
        <x:v>White/Black, Black/White, Burgundy, Green, Navy</x:v>
      </x:c>
      <x:c r="G185" s="21" t="str">
        <x:v>Kids 21-38 / Big kids 35-40</x:v>
      </x:c>
      <x:c r="H185" s="21" t="str">
        <x:v>Adidas para colegio: Samba/Gazelle/Campus faciles de vender.</x:v>
      </x:c>
      <x:c r="I185" s="21" t="str">
        <x:v>https://www.nordstrom.com/browse/back-to-school/shoes</x:v>
      </x:c>
      <x:c r="J185" s="21" t="str">
        <x:v>https://www.adidas.com/us/search?q=adidas%20Kids%20Samba%20OG</x:v>
      </x:c>
    </x:row>
    <x:row r="186" ht="43.5" customHeight="1">
      <x:c r="A186" s="21" t="str">
        <x:v>Alta</x:v>
      </x:c>
      <x:c r="B186" s="21" t="str">
        <x:v>Nino</x:v>
      </x:c>
      <x:c r="C186" s="21" t="str">
        <x:v>Back-to-school / terrace</x:v>
      </x:c>
      <x:c r="D186" s="21" t="str">
        <x:v>adidas</x:v>
      </x:c>
      <x:c r="E186" s="21" t="str">
        <x:v>Kids Samba Jane</x:v>
      </x:c>
      <x:c r="F186" s="21" t="str">
        <x:v>Black/White, White/Black, Burgundy, Silver, Cream</x:v>
      </x:c>
      <x:c r="G186" s="21" t="str">
        <x:v>Kids 21-38 / Big kids 35-40</x:v>
      </x:c>
      <x:c r="H186" s="21" t="str">
        <x:v>Adidas para colegio: Samba/Gazelle/Campus faciles de vender.</x:v>
      </x:c>
      <x:c r="I186" s="21" t="str">
        <x:v>https://www.nordstrom.com/browse/back-to-school/shoes</x:v>
      </x:c>
      <x:c r="J186" s="21" t="str">
        <x:v>https://www.adidas.com/us/search?q=adidas%20Kids%20Samba%20Jane</x:v>
      </x:c>
    </x:row>
    <x:row r="187" ht="43.5" customHeight="1">
      <x:c r="A187" s="21" t="str">
        <x:v>Alta</x:v>
      </x:c>
      <x:c r="B187" s="21" t="str">
        <x:v>Nino</x:v>
      </x:c>
      <x:c r="C187" s="21" t="str">
        <x:v>Back-to-school / terrace</x:v>
      </x:c>
      <x:c r="D187" s="21" t="str">
        <x:v>adidas</x:v>
      </x:c>
      <x:c r="E187" s="21" t="str">
        <x:v>Kids Gazelle</x:v>
      </x:c>
      <x:c r="F187" s="21" t="str">
        <x:v>Blue, Pink, Green, Black, Burgundy</x:v>
      </x:c>
      <x:c r="G187" s="21" t="str">
        <x:v>Kids 21-38 / Big kids 35-40</x:v>
      </x:c>
      <x:c r="H187" s="21" t="str">
        <x:v>Adidas para colegio: Samba/Gazelle/Campus faciles de vender.</x:v>
      </x:c>
      <x:c r="I187" s="21" t="str">
        <x:v>https://www.nordstrom.com/browse/back-to-school/shoes</x:v>
      </x:c>
      <x:c r="J187" s="21" t="str">
        <x:v>https://www.adidas.com/us/search?q=adidas%20Kids%20Gazelle</x:v>
      </x:c>
    </x:row>
    <x:row r="188" ht="43.5" customHeight="1">
      <x:c r="A188" s="21" t="str">
        <x:v>Media</x:v>
      </x:c>
      <x:c r="B188" s="21" t="str">
        <x:v>Nino</x:v>
      </x:c>
      <x:c r="C188" s="21" t="str">
        <x:v>Back-to-school / terrace</x:v>
      </x:c>
      <x:c r="D188" s="21" t="str">
        <x:v>adidas</x:v>
      </x:c>
      <x:c r="E188" s="21" t="str">
        <x:v>Kids Handball Spezial</x:v>
      </x:c>
      <x:c r="F188" s="21" t="str">
        <x:v>Navy/Gum, Light Blue, Green, Brown, Pink</x:v>
      </x:c>
      <x:c r="G188" s="21" t="str">
        <x:v>Kids 21-38 / Big kids 35-40</x:v>
      </x:c>
      <x:c r="H188" s="21" t="str">
        <x:v>Adidas para colegio: Samba/Gazelle/Campus faciles de vender.</x:v>
      </x:c>
      <x:c r="I188" s="21" t="str">
        <x:v>https://www.nordstrom.com/browse/back-to-school/shoes</x:v>
      </x:c>
      <x:c r="J188" s="21" t="str">
        <x:v>https://www.adidas.com/us/search?q=adidas%20Kids%20Handball%20Spezial</x:v>
      </x:c>
    </x:row>
    <x:row r="189" ht="43.5" customHeight="1">
      <x:c r="A189" s="21" t="str">
        <x:v>Alta</x:v>
      </x:c>
      <x:c r="B189" s="21" t="str">
        <x:v>Nino</x:v>
      </x:c>
      <x:c r="C189" s="21" t="str">
        <x:v>Back-to-school / terrace</x:v>
      </x:c>
      <x:c r="D189" s="21" t="str">
        <x:v>adidas</x:v>
      </x:c>
      <x:c r="E189" s="21" t="str">
        <x:v>Kids Campus 00s</x:v>
      </x:c>
      <x:c r="F189" s="21" t="str">
        <x:v>Grey, Black, Pink, Green, Navy</x:v>
      </x:c>
      <x:c r="G189" s="21" t="str">
        <x:v>Kids 21-38 / Big kids 35-40</x:v>
      </x:c>
      <x:c r="H189" s="21" t="str">
        <x:v>Adidas para colegio: Samba/Gazelle/Campus faciles de vender.</x:v>
      </x:c>
      <x:c r="I189" s="21" t="str">
        <x:v>https://www.nordstrom.com/browse/back-to-school/shoes</x:v>
      </x:c>
      <x:c r="J189" s="21" t="str">
        <x:v>https://www.adidas.com/us/search?q=adidas%20Kids%20Campus%2000s</x:v>
      </x:c>
    </x:row>
    <x:row r="190" ht="43.5" customHeight="1">
      <x:c r="A190" s="21" t="str">
        <x:v>Media</x:v>
      </x:c>
      <x:c r="B190" s="21" t="str">
        <x:v>Nino</x:v>
      </x:c>
      <x:c r="C190" s="21" t="str">
        <x:v>Back-to-school / terrace</x:v>
      </x:c>
      <x:c r="D190" s="21" t="str">
        <x:v>adidas</x:v>
      </x:c>
      <x:c r="E190" s="21" t="str">
        <x:v>Kids Superstar</x:v>
      </x:c>
      <x:c r="F190" s="21" t="str">
        <x:v>White/Black, Black/White, Pink, Red, Blue</x:v>
      </x:c>
      <x:c r="G190" s="21" t="str">
        <x:v>Kids 21-38 / Big kids 35-40</x:v>
      </x:c>
      <x:c r="H190" s="21" t="str">
        <x:v>Adidas para colegio: Samba/Gazelle/Campus faciles de vender.</x:v>
      </x:c>
      <x:c r="I190" s="21" t="str">
        <x:v>https://www.nordstrom.com/browse/back-to-school/shoes</x:v>
      </x:c>
      <x:c r="J190" s="21" t="str">
        <x:v>https://www.adidas.com/us/search?q=adidas%20Kids%20Superstar</x:v>
      </x:c>
    </x:row>
    <x:row r="191" ht="43.5" customHeight="1">
      <x:c r="A191" s="21" t="str">
        <x:v>Media</x:v>
      </x:c>
      <x:c r="B191" s="21" t="str">
        <x:v>Nino</x:v>
      </x:c>
      <x:c r="C191" s="21" t="str">
        <x:v>Back-to-school / terrace</x:v>
      </x:c>
      <x:c r="D191" s="21" t="str">
        <x:v>adidas</x:v>
      </x:c>
      <x:c r="E191" s="21" t="str">
        <x:v>Kids Stan Smith</x:v>
      </x:c>
      <x:c r="F191" s="21" t="str">
        <x:v>White/Green, White/Navy, Pink, Black</x:v>
      </x:c>
      <x:c r="G191" s="21" t="str">
        <x:v>Kids 21-38 / Big kids 35-40</x:v>
      </x:c>
      <x:c r="H191" s="21" t="str">
        <x:v>Adidas para colegio: Samba/Gazelle/Campus faciles de vender.</x:v>
      </x:c>
      <x:c r="I191" s="21" t="str">
        <x:v>https://www.nordstrom.com/browse/back-to-school/shoes</x:v>
      </x:c>
      <x:c r="J191" s="21" t="str">
        <x:v>https://www.adidas.com/us/search?q=adidas%20Kids%20Stan%20Smith</x:v>
      </x:c>
    </x:row>
    <x:row r="192" ht="43.5" customHeight="1">
      <x:c r="A192" s="21" t="str">
        <x:v>Alta</x:v>
      </x:c>
      <x:c r="B192" s="21" t="str">
        <x:v>Nino</x:v>
      </x:c>
      <x:c r="C192" s="21" t="str">
        <x:v>Back-to-school / terrace</x:v>
      </x:c>
      <x:c r="D192" s="21" t="str">
        <x:v>adidas</x:v>
      </x:c>
      <x:c r="E192" s="21" t="str">
        <x:v>Kids AE 1/AE 2</x:v>
      </x:c>
      <x:c r="F192" s="21" t="str">
        <x:v>Multicolor, Orange, Black/White, Blue, Silver</x:v>
      </x:c>
      <x:c r="G192" s="21" t="str">
        <x:v>Kids 21-38 / Big kids 35-40</x:v>
      </x:c>
      <x:c r="H192" s="21" t="str">
        <x:v>Adidas para colegio: Samba/Gazelle/Campus faciles de vender.</x:v>
      </x:c>
      <x:c r="I192" s="21" t="str">
        <x:v>https://www.nordstrom.com/browse/back-to-school/shoes</x:v>
      </x:c>
      <x:c r="J192" s="21" t="str">
        <x:v>https://www.adidas.com/us/search?q=adidas%20Kids%20AE%201%2FAE%202</x:v>
      </x:c>
    </x:row>
    <x:row r="193" ht="43.5" customHeight="1">
      <x:c r="A193" s="21" t="str">
        <x:v>Alta</x:v>
      </x:c>
      <x:c r="B193" s="21" t="str">
        <x:v>Nino</x:v>
      </x:c>
      <x:c r="C193" s="21" t="str">
        <x:v>Back-to-school / runner</x:v>
      </x:c>
      <x:c r="D193" s="21" t="str">
        <x:v>New Balance</x:v>
      </x:c>
      <x:c r="E193" s="21" t="str">
        <x:v>Kids 530</x:v>
      </x:c>
      <x:c r="F193" s="21" t="str">
        <x:v>White/Silver, Navy, Pink, Grey, Beige</x:v>
      </x:c>
      <x:c r="G193" s="21" t="str">
        <x:v>Kids 21-38 / Big kids 35-40</x:v>
      </x:c>
      <x:c r="H193" s="21" t="str">
        <x:v>Comodidad y moda Y2K para colegio.</x:v>
      </x:c>
      <x:c r="I193" s="21" t="str">
        <x:v>https://www.nordstrom.com/browse/back-to-school/shoes</x:v>
      </x:c>
      <x:c r="J193" s="21" t="str">
        <x:v>https://www.newbalance.com/search?q=New%20Balance%20Kids%20530</x:v>
      </x:c>
    </x:row>
    <x:row r="194" ht="43.5" customHeight="1">
      <x:c r="A194" s="21" t="str">
        <x:v>Alta</x:v>
      </x:c>
      <x:c r="B194" s="21" t="str">
        <x:v>Nino</x:v>
      </x:c>
      <x:c r="C194" s="21" t="str">
        <x:v>Back-to-school / runner</x:v>
      </x:c>
      <x:c r="D194" s="21" t="str">
        <x:v>New Balance</x:v>
      </x:c>
      <x:c r="E194" s="21" t="str">
        <x:v>Kids 9060</x:v>
      </x:c>
      <x:c r="F194" s="21" t="str">
        <x:v>Grey, Black, Pink, Sea Salt, Blue</x:v>
      </x:c>
      <x:c r="G194" s="21" t="str">
        <x:v>Kids 21-38 / Big kids 35-40</x:v>
      </x:c>
      <x:c r="H194" s="21" t="str">
        <x:v>Comodidad y moda Y2K para colegio.</x:v>
      </x:c>
      <x:c r="I194" s="21" t="str">
        <x:v>https://www.nordstrom.com/browse/back-to-school/shoes</x:v>
      </x:c>
      <x:c r="J194" s="21" t="str">
        <x:v>https://www.newbalance.com/search?q=New%20Balance%20Kids%209060</x:v>
      </x:c>
    </x:row>
    <x:row r="195" ht="43.5" customHeight="1">
      <x:c r="A195" s="21" t="str">
        <x:v>Alta</x:v>
      </x:c>
      <x:c r="B195" s="21" t="str">
        <x:v>Nino</x:v>
      </x:c>
      <x:c r="C195" s="21" t="str">
        <x:v>Back-to-school / runner</x:v>
      </x:c>
      <x:c r="D195" s="21" t="str">
        <x:v>New Balance</x:v>
      </x:c>
      <x:c r="E195" s="21" t="str">
        <x:v>Kids 1906R</x:v>
      </x:c>
      <x:c r="F195" s="21" t="str">
        <x:v>Silver/Black, Pink Haze, Black, Blue, Cream</x:v>
      </x:c>
      <x:c r="G195" s="21" t="str">
        <x:v>Kids 21-38 / Big kids 35-40</x:v>
      </x:c>
      <x:c r="H195" s="21" t="str">
        <x:v>Comodidad y moda Y2K para colegio.</x:v>
      </x:c>
      <x:c r="I195" s="21" t="str">
        <x:v>https://www.nordstrom.com/browse/back-to-school/shoes</x:v>
      </x:c>
      <x:c r="J195" s="21" t="str">
        <x:v>https://www.newbalance.com/search?q=New%20Balance%20Kids%201906R</x:v>
      </x:c>
    </x:row>
    <x:row r="196" ht="43.5" customHeight="1">
      <x:c r="A196" s="21" t="str">
        <x:v>Media</x:v>
      </x:c>
      <x:c r="B196" s="21" t="str">
        <x:v>Nino</x:v>
      </x:c>
      <x:c r="C196" s="21" t="str">
        <x:v>Back-to-school / runner</x:v>
      </x:c>
      <x:c r="D196" s="21" t="str">
        <x:v>New Balance</x:v>
      </x:c>
      <x:c r="E196" s="21" t="str">
        <x:v>Kids 2002R</x:v>
      </x:c>
      <x:c r="F196" s="21" t="str">
        <x:v>Grey, Black, Navy, Cream, Pink</x:v>
      </x:c>
      <x:c r="G196" s="21" t="str">
        <x:v>Kids 21-38 / Big kids 35-40</x:v>
      </x:c>
      <x:c r="H196" s="21" t="str">
        <x:v>Comodidad y moda Y2K para colegio.</x:v>
      </x:c>
      <x:c r="I196" s="21" t="str">
        <x:v>https://www.nordstrom.com/browse/back-to-school/shoes</x:v>
      </x:c>
      <x:c r="J196" s="21" t="str">
        <x:v>https://www.newbalance.com/search?q=New%20Balance%20Kids%202002R</x:v>
      </x:c>
    </x:row>
    <x:row r="197" ht="43.5" customHeight="1">
      <x:c r="A197" s="21" t="str">
        <x:v>Alta</x:v>
      </x:c>
      <x:c r="B197" s="21" t="str">
        <x:v>Nino</x:v>
      </x:c>
      <x:c r="C197" s="21" t="str">
        <x:v>Back-to-school / runner</x:v>
      </x:c>
      <x:c r="D197" s="21" t="str">
        <x:v>New Balance</x:v>
      </x:c>
      <x:c r="E197" s="21" t="str">
        <x:v>Kids 204L</x:v>
      </x:c>
      <x:c r="F197" s="21" t="str">
        <x:v>White/Oxford Blue, White/Grey, Pink, Black, Driftwood</x:v>
      </x:c>
      <x:c r="G197" s="21" t="str">
        <x:v>Kids 21-38 / Big kids 35-40</x:v>
      </x:c>
      <x:c r="H197" s="21" t="str">
        <x:v>Comodidad y moda Y2K para colegio.</x:v>
      </x:c>
      <x:c r="I197" s="21" t="str">
        <x:v>https://www.nordstrom.com/browse/back-to-school/shoes</x:v>
      </x:c>
      <x:c r="J197" s="21" t="str">
        <x:v>https://www.newbalance.com/search?q=New%20Balance%20Kids%20204L</x:v>
      </x:c>
    </x:row>
    <x:row r="198" ht="43.5" customHeight="1">
      <x:c r="A198" s="21" t="str">
        <x:v>Media</x:v>
      </x:c>
      <x:c r="B198" s="21" t="str">
        <x:v>Nino</x:v>
      </x:c>
      <x:c r="C198" s="21" t="str">
        <x:v>Back-to-school / runner</x:v>
      </x:c>
      <x:c r="D198" s="21" t="str">
        <x:v>New Balance</x:v>
      </x:c>
      <x:c r="E198" s="21" t="str">
        <x:v>Kids 2010</x:v>
      </x:c>
      <x:c r="F198" s="21" t="str">
        <x:v>Raincloud, Shell Pink, Black, Navy, Turtledove</x:v>
      </x:c>
      <x:c r="G198" s="21" t="str">
        <x:v>Kids 21-38 / Big kids 35-40</x:v>
      </x:c>
      <x:c r="H198" s="21" t="str">
        <x:v>Comodidad y moda Y2K para colegio.</x:v>
      </x:c>
      <x:c r="I198" s="21" t="str">
        <x:v>https://www.nordstrom.com/browse/back-to-school/shoes</x:v>
      </x:c>
      <x:c r="J198" s="21" t="str">
        <x:v>https://www.newbalance.com/search?q=New%20Balance%20Kids%202010</x:v>
      </x:c>
    </x:row>
    <x:row r="199" ht="43.5" customHeight="1">
      <x:c r="A199" s="21" t="str">
        <x:v>Media</x:v>
      </x:c>
      <x:c r="B199" s="21" t="str">
        <x:v>Nino</x:v>
      </x:c>
      <x:c r="C199" s="21" t="str">
        <x:v>Back-to-school / runner</x:v>
      </x:c>
      <x:c r="D199" s="21" t="str">
        <x:v>New Balance</x:v>
      </x:c>
      <x:c r="E199" s="21" t="str">
        <x:v>Kids 574</x:v>
      </x:c>
      <x:c r="F199" s="21" t="str">
        <x:v>Grey, Navy, Pink, Black, Green</x:v>
      </x:c>
      <x:c r="G199" s="21" t="str">
        <x:v>Kids 21-38 / Big kids 35-40</x:v>
      </x:c>
      <x:c r="H199" s="21" t="str">
        <x:v>Comodidad y moda Y2K para colegio.</x:v>
      </x:c>
      <x:c r="I199" s="21" t="str">
        <x:v>https://www.nordstrom.com/browse/back-to-school/shoes</x:v>
      </x:c>
      <x:c r="J199" s="21" t="str">
        <x:v>https://www.newbalance.com/search?q=New%20Balance%20Kids%20574</x:v>
      </x:c>
    </x:row>
    <x:row r="200" ht="43.5" customHeight="1">
      <x:c r="A200" s="21" t="str">
        <x:v>Prueba</x:v>
      </x:c>
      <x:c r="B200" s="21" t="str">
        <x:v>Nino</x:v>
      </x:c>
      <x:c r="C200" s="21" t="str">
        <x:v>Back-to-school / runner</x:v>
      </x:c>
      <x:c r="D200" s="21" t="str">
        <x:v>New Balance</x:v>
      </x:c>
      <x:c r="E200" s="21" t="str">
        <x:v>Kids Fresh Foam 625/860</x:v>
      </x:c>
      <x:c r="F200" s="21" t="str">
        <x:v>Black, Grey, Navy, Pink, Blue</x:v>
      </x:c>
      <x:c r="G200" s="21" t="str">
        <x:v>Kids 21-38 / Big kids 35-40</x:v>
      </x:c>
      <x:c r="H200" s="21" t="str">
        <x:v>Comodidad y moda Y2K para colegio.</x:v>
      </x:c>
      <x:c r="I200" s="21" t="str">
        <x:v>https://www.nordstrom.com/browse/back-to-school/shoes</x:v>
      </x:c>
      <x:c r="J200" s="21" t="str">
        <x:v>https://www.newbalance.com/search?q=New%20Balance%20Kids%20Fresh%20Foam%20625%2F860</x:v>
      </x:c>
    </x:row>
    <x:row r="201" ht="43.5" customHeight="1">
      <x:c r="A201" s="21" t="str">
        <x:v>Media</x:v>
      </x:c>
      <x:c r="B201" s="21" t="str">
        <x:v>Nino</x:v>
      </x:c>
      <x:c r="C201" s="21" t="str">
        <x:v>Back-to-school / runner</x:v>
      </x:c>
      <x:c r="D201" s="21" t="str">
        <x:v>New Balance</x:v>
      </x:c>
      <x:c r="E201" s="21" t="str">
        <x:v>Kids 440v2 / Jamie Foy 306</x:v>
      </x:c>
      <x:c r="F201" s="21" t="str">
        <x:v>Black/White, Navy, Sea Salt, Dark Moss</x:v>
      </x:c>
      <x:c r="G201" s="21" t="str">
        <x:v>Kids 21-38 / Big kids 35-40</x:v>
      </x:c>
      <x:c r="H201" s="21" t="str">
        <x:v>Comodidad y moda Y2K para colegio.</x:v>
      </x:c>
      <x:c r="I201" s="21" t="str">
        <x:v>https://www.nordstrom.com/browse/back-to-school/shoes</x:v>
      </x:c>
      <x:c r="J201" s="21" t="str">
        <x:v>https://www.newbalance.com/search?q=New%20Balance%20Kids%20440v2%20%2F%20Jamie%20Foy%20306</x:v>
      </x:c>
    </x:row>
    <x:row r="202" ht="43.5" customHeight="1">
      <x:c r="A202" s="21" t="str">
        <x:v>Alta</x:v>
      </x:c>
      <x:c r="B202" s="21" t="str">
        <x:v>Nino</x:v>
      </x:c>
      <x:c r="C202" s="21" t="str">
        <x:v>Back-to-school / runner</x:v>
      </x:c>
      <x:c r="D202" s="21" t="str">
        <x:v>ASICS</x:v>
      </x:c>
      <x:c r="E202" s="21" t="str">
        <x:v>Kids GEL-1130</x:v>
      </x:c>
      <x:c r="F202" s="21" t="str">
        <x:v>White/Silver, Black, Cream, Pink, Blue</x:v>
      </x:c>
      <x:c r="G202" s="21" t="str">
        <x:v>Kids 21-38 / Big kids 35-40</x:v>
      </x:c>
      <x:c r="H202" s="21" t="str">
        <x:v>ASICS kids se ve por GEL-1130 y runner retro.</x:v>
      </x:c>
      <x:c r="I202" s="21" t="str">
        <x:v>https://www.nordstrom.com/browse/back-to-school/shoes</x:v>
      </x:c>
      <x:c r="J202" s="21" t="str">
        <x:v>https://www.asics.com/us/en-us/search/?q=ASICS%20Kids%20GEL-1130</x:v>
      </x:c>
    </x:row>
    <x:row r="203" ht="43.5" customHeight="1">
      <x:c r="A203" s="21" t="str">
        <x:v>Media</x:v>
      </x:c>
      <x:c r="B203" s="21" t="str">
        <x:v>Nino</x:v>
      </x:c>
      <x:c r="C203" s="21" t="str">
        <x:v>Back-to-school / runner</x:v>
      </x:c>
      <x:c r="D203" s="21" t="str">
        <x:v>ASICS</x:v>
      </x:c>
      <x:c r="E203" s="21" t="str">
        <x:v>Kids GEL-NYC</x:v>
      </x:c>
      <x:c r="F203" s="21" t="str">
        <x:v>Cream, Grey, Black, Blue, Green</x:v>
      </x:c>
      <x:c r="G203" s="21" t="str">
        <x:v>Kids 21-38 / Big kids 35-40</x:v>
      </x:c>
      <x:c r="H203" s="21" t="str">
        <x:v>ASICS kids se ve por GEL-1130 y runner retro.</x:v>
      </x:c>
      <x:c r="I203" s="21" t="str">
        <x:v>https://www.nordstrom.com/browse/back-to-school/shoes</x:v>
      </x:c>
      <x:c r="J203" s="21" t="str">
        <x:v>https://www.asics.com/us/en-us/search/?q=ASICS%20Kids%20GEL-NYC</x:v>
      </x:c>
    </x:row>
    <x:row r="204" ht="43.5" customHeight="1">
      <x:c r="A204" s="21" t="str">
        <x:v>Prueba</x:v>
      </x:c>
      <x:c r="B204" s="21" t="str">
        <x:v>Nino</x:v>
      </x:c>
      <x:c r="C204" s="21" t="str">
        <x:v>Back-to-school / runner</x:v>
      </x:c>
      <x:c r="D204" s="21" t="str">
        <x:v>ASICS</x:v>
      </x:c>
      <x:c r="E204" s="21" t="str">
        <x:v>Kids GT-1000 / Cumulus</x:v>
      </x:c>
      <x:c r="F204" s="21" t="str">
        <x:v>Black, Navy, Pink, Blue, Grey</x:v>
      </x:c>
      <x:c r="G204" s="21" t="str">
        <x:v>Kids 21-38 / Big kids 35-40</x:v>
      </x:c>
      <x:c r="H204" s="21" t="str">
        <x:v>ASICS kids se ve por GEL-1130 y runner retro.</x:v>
      </x:c>
      <x:c r="I204" s="21" t="str">
        <x:v>https://www.nordstrom.com/browse/back-to-school/shoes</x:v>
      </x:c>
      <x:c r="J204" s="21" t="str">
        <x:v>https://www.asics.com/us/en-us/search/?q=ASICS%20Kids%20GT-1000%20%2F%20Cumulus</x:v>
      </x:c>
    </x:row>
    <x:row r="205" ht="43.5" customHeight="1">
      <x:c r="A205" s="21" t="str">
        <x:v>Alta</x:v>
      </x:c>
      <x:c r="B205" s="21" t="str">
        <x:v>Nino</x:v>
      </x:c>
      <x:c r="C205" s="21" t="str">
        <x:v>Back-to-school / casual</x:v>
      </x:c>
      <x:c r="D205" s="21" t="str">
        <x:v>Converse</x:v>
      </x:c>
      <x:c r="E205" s="21" t="str">
        <x:v>Kids Chuck Taylor High</x:v>
      </x:c>
      <x:c r="F205" s="21" t="str">
        <x:v>Black, White, Red, Navy, Pink</x:v>
      </x:c>
      <x:c r="G205" s="21" t="str">
        <x:v>Kids 21-38 / Big kids 35-40</x:v>
      </x:c>
      <x:c r="H205" s="21" t="str">
        <x:v>Basico escolar, facil de combinar y buen precio.</x:v>
      </x:c>
      <x:c r="I205" s="21" t="str">
        <x:v>https://www.nordstrom.com/browse/back-to-school/shoes</x:v>
      </x:c>
      <x:c r="J205" s="21" t="str">
        <x:v>https://www.converse.com/search?q=Converse%20Kids%20Chuck%20Taylor%20High</x:v>
      </x:c>
    </x:row>
    <x:row r="206" ht="43.5" customHeight="1">
      <x:c r="A206" s="21" t="str">
        <x:v>Alta</x:v>
      </x:c>
      <x:c r="B206" s="21" t="str">
        <x:v>Nino</x:v>
      </x:c>
      <x:c r="C206" s="21" t="str">
        <x:v>Back-to-school / casual</x:v>
      </x:c>
      <x:c r="D206" s="21" t="str">
        <x:v>Converse</x:v>
      </x:c>
      <x:c r="E206" s="21" t="str">
        <x:v>Kids Chuck Taylor EVA Lift High</x:v>
      </x:c>
      <x:c r="F206" s="21" t="str">
        <x:v>Black, White, Pink, Glitter/Silver</x:v>
      </x:c>
      <x:c r="G206" s="21" t="str">
        <x:v>Kids 21-38 / Big kids 35-40</x:v>
      </x:c>
      <x:c r="H206" s="21" t="str">
        <x:v>Basico escolar, facil de combinar y buen precio.</x:v>
      </x:c>
      <x:c r="I206" s="21" t="str">
        <x:v>https://www.nordstrom.com/browse/back-to-school/shoes</x:v>
      </x:c>
      <x:c r="J206" s="21" t="str">
        <x:v>https://www.converse.com/search?q=Converse%20Kids%20Chuck%20Taylor%20EVA%20Lift%20High</x:v>
      </x:c>
    </x:row>
    <x:row r="207" ht="43.5" customHeight="1">
      <x:c r="A207" s="21" t="str">
        <x:v>Media</x:v>
      </x:c>
      <x:c r="B207" s="21" t="str">
        <x:v>Nino</x:v>
      </x:c>
      <x:c r="C207" s="21" t="str">
        <x:v>Back-to-school / casual</x:v>
      </x:c>
      <x:c r="D207" s="21" t="str">
        <x:v>Converse</x:v>
      </x:c>
      <x:c r="E207" s="21" t="str">
        <x:v>Kids Chuck Taylor Low</x:v>
      </x:c>
      <x:c r="F207" s="21" t="str">
        <x:v>Black, White, Navy, Red, Cream</x:v>
      </x:c>
      <x:c r="G207" s="21" t="str">
        <x:v>Kids 21-38 / Big kids 35-40</x:v>
      </x:c>
      <x:c r="H207" s="21" t="str">
        <x:v>Basico escolar, facil de combinar y buen precio.</x:v>
      </x:c>
      <x:c r="I207" s="21" t="str">
        <x:v>https://www.nordstrom.com/browse/back-to-school/shoes</x:v>
      </x:c>
      <x:c r="J207" s="21" t="str">
        <x:v>https://www.converse.com/search?q=Converse%20Kids%20Chuck%20Taylor%20Low</x:v>
      </x:c>
    </x:row>
    <x:row r="208" ht="43.5" customHeight="1">
      <x:c r="A208" s="21" t="str">
        <x:v>Prueba</x:v>
      </x:c>
      <x:c r="B208" s="21" t="str">
        <x:v>Nino</x:v>
      </x:c>
      <x:c r="C208" s="21" t="str">
        <x:v>Back-to-school / casual</x:v>
      </x:c>
      <x:c r="D208" s="21" t="str">
        <x:v>Converse</x:v>
      </x:c>
      <x:c r="E208" s="21" t="str">
        <x:v>Kids Run Star Hike</x:v>
      </x:c>
      <x:c r="F208" s="21" t="str">
        <x:v>Black, White, Platform Cream, Pink</x:v>
      </x:c>
      <x:c r="G208" s="21" t="str">
        <x:v>Kids 21-38 / Big kids 35-40</x:v>
      </x:c>
      <x:c r="H208" s="21" t="str">
        <x:v>Basico escolar, facil de combinar y buen precio.</x:v>
      </x:c>
      <x:c r="I208" s="21" t="str">
        <x:v>https://www.nordstrom.com/browse/back-to-school/shoes</x:v>
      </x:c>
      <x:c r="J208" s="21" t="str">
        <x:v>https://www.converse.com/search?q=Converse%20Kids%20Run%20Star%20Hike</x:v>
      </x:c>
    </x:row>
    <x:row r="209" ht="43.5" customHeight="1">
      <x:c r="A209" s="21" t="str">
        <x:v>Alta</x:v>
      </x:c>
      <x:c r="B209" s="21" t="str">
        <x:v>Nino</x:v>
      </x:c>
      <x:c r="C209" s="21" t="str">
        <x:v>Back-to-school / casual</x:v>
      </x:c>
      <x:c r="D209" s="21" t="str">
        <x:v>Vans</x:v>
      </x:c>
      <x:c r="E209" s="21" t="str">
        <x:v>Kids Old Skool</x:v>
      </x:c>
      <x:c r="F209" s="21" t="str">
        <x:v>Black/White, Checkerboard, Navy, Pink, Gum</x:v>
      </x:c>
      <x:c r="G209" s="21" t="str">
        <x:v>Kids 21-38 / Big kids 35-40</x:v>
      </x:c>
      <x:c r="H209" s="21" t="str">
        <x:v>Skate shoes y black/white uniform-approved.</x:v>
      </x:c>
      <x:c r="I209" s="21" t="str">
        <x:v>https://www.nordstrom.com/browse/back-to-school/shoes</x:v>
      </x:c>
      <x:c r="J209" s="21" t="str">
        <x:v>https://www.vans.com/en-us/search/product?q=Vans%20Kids%20Old%20Skool</x:v>
      </x:c>
    </x:row>
    <x:row r="210" ht="43.5" customHeight="1">
      <x:c r="A210" s="21" t="str">
        <x:v>Media</x:v>
      </x:c>
      <x:c r="B210" s="21" t="str">
        <x:v>Nino</x:v>
      </x:c>
      <x:c r="C210" s="21" t="str">
        <x:v>Back-to-school / casual</x:v>
      </x:c>
      <x:c r="D210" s="21" t="str">
        <x:v>Vans</x:v>
      </x:c>
      <x:c r="E210" s="21" t="str">
        <x:v>Kids Slip-On</x:v>
      </x:c>
      <x:c r="F210" s="21" t="str">
        <x:v>Checkerboard, Black, White, Leopard, Red</x:v>
      </x:c>
      <x:c r="G210" s="21" t="str">
        <x:v>Kids 21-38 / Big kids 35-40</x:v>
      </x:c>
      <x:c r="H210" s="21" t="str">
        <x:v>Skate shoes y black/white uniform-approved.</x:v>
      </x:c>
      <x:c r="I210" s="21" t="str">
        <x:v>https://www.nordstrom.com/browse/back-to-school/shoes</x:v>
      </x:c>
      <x:c r="J210" s="21" t="str">
        <x:v>https://www.vans.com/en-us/search/product?q=Vans%20Kids%20Slip-On</x:v>
      </x:c>
    </x:row>
    <x:row r="211" ht="43.5" customHeight="1">
      <x:c r="A211" s="21" t="str">
        <x:v>Media</x:v>
      </x:c>
      <x:c r="B211" s="21" t="str">
        <x:v>Nino</x:v>
      </x:c>
      <x:c r="C211" s="21" t="str">
        <x:v>Back-to-school / casual</x:v>
      </x:c>
      <x:c r="D211" s="21" t="str">
        <x:v>Vans</x:v>
      </x:c>
      <x:c r="E211" s="21" t="str">
        <x:v>Kids Knu Skool</x:v>
      </x:c>
      <x:c r="F211" s="21" t="str">
        <x:v>Black/White, Navy, Pink, Brown</x:v>
      </x:c>
      <x:c r="G211" s="21" t="str">
        <x:v>Kids 21-38 / Big kids 35-40</x:v>
      </x:c>
      <x:c r="H211" s="21" t="str">
        <x:v>Skate shoes y black/white uniform-approved.</x:v>
      </x:c>
      <x:c r="I211" s="21" t="str">
        <x:v>https://www.nordstrom.com/browse/back-to-school/shoes</x:v>
      </x:c>
      <x:c r="J211" s="21" t="str">
        <x:v>https://www.vans.com/en-us/search/product?q=Vans%20Kids%20Knu%20Skool</x:v>
      </x:c>
    </x:row>
    <x:row r="212" ht="43.5" customHeight="1">
      <x:c r="A212" s="21" t="str">
        <x:v>Prueba</x:v>
      </x:c>
      <x:c r="B212" s="21" t="str">
        <x:v>Nino</x:v>
      </x:c>
      <x:c r="C212" s="21" t="str">
        <x:v>Back-to-school / casual</x:v>
      </x:c>
      <x:c r="D212" s="21" t="str">
        <x:v>Vans</x:v>
      </x:c>
      <x:c r="E212" s="21" t="str">
        <x:v>Kids Sk8-Hi</x:v>
      </x:c>
      <x:c r="F212" s="21" t="str">
        <x:v>Black/White, Checkerboard, Red, Navy</x:v>
      </x:c>
      <x:c r="G212" s="21" t="str">
        <x:v>Kids 21-38 / Big kids 35-40</x:v>
      </x:c>
      <x:c r="H212" s="21" t="str">
        <x:v>Skate shoes y black/white uniform-approved.</x:v>
      </x:c>
      <x:c r="I212" s="21" t="str">
        <x:v>https://www.nordstrom.com/browse/back-to-school/shoes</x:v>
      </x:c>
      <x:c r="J212" s="21" t="str">
        <x:v>https://www.vans.com/en-us/search/product?q=Vans%20Kids%20Sk8-Hi</x:v>
      </x:c>
    </x:row>
    <x:row r="213" ht="43.5" customHeight="1">
      <x:c r="A213" s="21" t="str">
        <x:v>Media</x:v>
      </x:c>
      <x:c r="B213" s="21" t="str">
        <x:v>Nino</x:v>
      </x:c>
      <x:c r="C213" s="21" t="str">
        <x:v>Back-to-school / comfort</x:v>
      </x:c>
      <x:c r="D213" s="21" t="str">
        <x:v>On</x:v>
      </x:c>
      <x:c r="E213" s="21" t="str">
        <x:v>Kids The Roger</x:v>
      </x:c>
      <x:c r="F213" s="21" t="str">
        <x:v>White/Gum, White/Navy, Cream, Black, Pink</x:v>
      </x:c>
      <x:c r="G213" s="21" t="str">
        <x:v>Kids 21-38 / Big kids 35-40</x:v>
      </x:c>
      <x:c r="H213" s="21" t="str">
        <x:v>Cliente premium, colegios y regalo.</x:v>
      </x:c>
      <x:c r="I213" s="21" t="str">
        <x:v>https://www.nordstrom.com/browse/back-to-school/shoes</x:v>
      </x:c>
      <x:c r="J213" s="21" t="str">
        <x:v>https://www.on.com/en-us/search?q=On%20Kids%20The%20Roger</x:v>
      </x:c>
    </x:row>
    <x:row r="214" ht="43.5" customHeight="1">
      <x:c r="A214" s="21" t="str">
        <x:v>Prueba</x:v>
      </x:c>
      <x:c r="B214" s="21" t="str">
        <x:v>Nino</x:v>
      </x:c>
      <x:c r="C214" s="21" t="str">
        <x:v>Back-to-school / comfort</x:v>
      </x:c>
      <x:c r="D214" s="21" t="str">
        <x:v>On</x:v>
      </x:c>
      <x:c r="E214" s="21" t="str">
        <x:v>Kids Cloud Play / Cloud Sky</x:v>
      </x:c>
      <x:c r="F214" s="21" t="str">
        <x:v>Black/White, White, Navy, Pink, Grey</x:v>
      </x:c>
      <x:c r="G214" s="21" t="str">
        <x:v>Kids 21-38 / Big kids 35-40</x:v>
      </x:c>
      <x:c r="H214" s="21" t="str">
        <x:v>Cliente premium, colegios y regalo.</x:v>
      </x:c>
      <x:c r="I214" s="21" t="str">
        <x:v>https://www.nordstrom.com/browse/back-to-school/shoes</x:v>
      </x:c>
      <x:c r="J214" s="21" t="str">
        <x:v>https://www.on.com/en-us/search?q=On%20Kids%20Cloud%20Play%20%2F%20Cloud%20Sky</x:v>
      </x:c>
    </x:row>
    <x:row r="215" ht="43.5" customHeight="1">
      <x:c r="A215" s="21" t="str">
        <x:v>Prueba</x:v>
      </x:c>
      <x:c r="B215" s="21" t="str">
        <x:v>Nino</x:v>
      </x:c>
      <x:c r="C215" s="21" t="str">
        <x:v>Back-to-school / comfort</x:v>
      </x:c>
      <x:c r="D215" s="21" t="str">
        <x:v>On</x:v>
      </x:c>
      <x:c r="E215" s="21" t="str">
        <x:v>Kids Cloudhero</x:v>
      </x:c>
      <x:c r="F215" s="21" t="str">
        <x:v>Blue, Pink, Black, White, Green</x:v>
      </x:c>
      <x:c r="G215" s="21" t="str">
        <x:v>Kids 21-38 / Big kids 35-40</x:v>
      </x:c>
      <x:c r="H215" s="21" t="str">
        <x:v>Cliente premium, colegios y regalo.</x:v>
      </x:c>
      <x:c r="I215" s="21" t="str">
        <x:v>https://www.nordstrom.com/browse/back-to-school/shoes</x:v>
      </x:c>
      <x:c r="J215" s="21" t="str">
        <x:v>https://www.on.com/en-us/search?q=On%20Kids%20Cloudhero</x:v>
      </x:c>
    </x:row>
    <x:row r="216" ht="43.5" customHeight="1">
      <x:c r="A216" s="21" t="str">
        <x:v>Alta</x:v>
      </x:c>
      <x:c r="B216" s="21" t="str">
        <x:v>Nino</x:v>
      </x:c>
      <x:c r="C216" s="21" t="str">
        <x:v>Back-to-school / comfort</x:v>
      </x:c>
      <x:c r="D216" s="21" t="str">
        <x:v>Crocs</x:v>
      </x:c>
      <x:c r="E216" s="21" t="str">
        <x:v>Classic Clog Kids</x:v>
      </x:c>
      <x:c r="F216" s="21" t="str">
        <x:v>Black, White, Navy, Pink, Lime, Tie Dye</x:v>
      </x:c>
      <x:c r="G216" s="21" t="str">
        <x:v>Kids 21-38 / adulto 35-44 tambien</x:v>
      </x:c>
      <x:c r="H216" s="21" t="str">
        <x:v>No es tenis, pero rota duro en nino y regalo con charms.</x:v>
      </x:c>
      <x:c r="I216" s="21" t="str">
        <x:v>https://www.nordstrom.com/browse/back-to-school/shoes</x:v>
      </x:c>
      <x:c r="J216" s="21" t="str">
        <x:v>https://www.crocs.com/search?q=Crocs%20Classic%20Clog%20Kids</x:v>
      </x:c>
    </x:row>
    <x:row r="217" ht="43.5" customHeight="1">
      <x:c r="A217" s="21" t="str">
        <x:v>Media</x:v>
      </x:c>
      <x:c r="B217" s="21" t="str">
        <x:v>Nino</x:v>
      </x:c>
      <x:c r="C217" s="21" t="str">
        <x:v>Back-to-school / comfort</x:v>
      </x:c>
      <x:c r="D217" s="21" t="str">
        <x:v>Crocs</x:v>
      </x:c>
      <x:c r="E217" s="21" t="str">
        <x:v>Classic Platform / Crush Clog</x:v>
      </x:c>
      <x:c r="F217" s="21" t="str">
        <x:v>White, Bone, Pink, Black, Lavender</x:v>
      </x:c>
      <x:c r="G217" s="21" t="str">
        <x:v>Kids 21-38 / adulto 35-44 tambien</x:v>
      </x:c>
      <x:c r="H217" s="21" t="str">
        <x:v>No es tenis, pero rota duro en nino y regalo con charms.</x:v>
      </x:c>
      <x:c r="I217" s="21" t="str">
        <x:v>https://www.nordstrom.com/browse/back-to-school/shoes</x:v>
      </x:c>
      <x:c r="J217" s="21" t="str">
        <x:v>https://www.crocs.com/search?q=Crocs%20Classic%20Platform%20%2F%20Crush%20Clog</x:v>
      </x:c>
    </x:row>
    <x:row r="218" ht="43.5" customHeight="1">
      <x:c r="A218" s="21" t="str">
        <x:v>Media</x:v>
      </x:c>
      <x:c r="B218" s="21" t="str">
        <x:v>Nino</x:v>
      </x:c>
      <x:c r="C218" s="21" t="str">
        <x:v>Back-to-school / comfort</x:v>
      </x:c>
      <x:c r="D218" s="21" t="str">
        <x:v>Crocs</x:v>
      </x:c>
      <x:c r="E218" s="21" t="str">
        <x:v>Echo Clog</x:v>
      </x:c>
      <x:c r="F218" s="21" t="str">
        <x:v>Black, Bone, Slate, Green, Orange</x:v>
      </x:c>
      <x:c r="G218" s="21" t="str">
        <x:v>Kids 21-38 / adulto 35-44 tambien</x:v>
      </x:c>
      <x:c r="H218" s="21" t="str">
        <x:v>No es tenis, pero rota duro en nino y regalo con charms.</x:v>
      </x:c>
      <x:c r="I218" s="21" t="str">
        <x:v>https://www.nordstrom.com/browse/back-to-school/shoes</x:v>
      </x:c>
      <x:c r="J218" s="21" t="str">
        <x:v>https://www.crocs.com/search?q=Crocs%20Echo%20Clog</x:v>
      </x:c>
    </x:row>
    <x:row r="219" ht="43.5" customHeight="1">
      <x:c r="A219" s="21" t="str">
        <x:v>Prueba</x:v>
      </x:c>
      <x:c r="B219" s="21" t="str">
        <x:v>Nino</x:v>
      </x:c>
      <x:c r="C219" s="21" t="str">
        <x:v>Back-to-school / comfort</x:v>
      </x:c>
      <x:c r="D219" s="21" t="str">
        <x:v>UGG</x:v>
      </x:c>
      <x:c r="E219" s="21" t="str">
        <x:v>Kids Classic Slip-On</x:v>
      </x:c>
      <x:c r="F219" s="21" t="str">
        <x:v>Chestnut, Black, Sand, Pink, Grey</x:v>
      </x:c>
      <x:c r="G219" s="21" t="str">
        <x:v>Kids 21-38 / dama 35-40</x:v>
      </x:c>
      <x:c r="H219" s="21" t="str">
        <x:v>Solo para temporada/regalo, no cargar demasiado.</x:v>
      </x:c>
      <x:c r="I219" s="21" t="str">
        <x:v>https://www.nordstrom.com/browse/back-to-school/shoes</x:v>
      </x:c>
      <x:c r="J219" s="21" t="str">
        <x:v>https://www.ugg.com/search?q=UGG%20Kids%20Classic%20Slip-On</x:v>
      </x:c>
    </x:row>
    <x:row r="220" ht="43.5" customHeight="1">
      <x:c r="A220" s="22" t="str">
        <x:v>Prueba</x:v>
      </x:c>
      <x:c r="B220" s="22" t="str">
        <x:v>Nino</x:v>
      </x:c>
      <x:c r="C220" s="22" t="str">
        <x:v>Back-to-school / comfort</x:v>
      </x:c>
      <x:c r="D220" s="22" t="str">
        <x:v>UGG</x:v>
      </x:c>
      <x:c r="E220" s="22" t="str">
        <x:v>Tasman / Tazz kids</x:v>
      </x:c>
      <x:c r="F220" s="22" t="str">
        <x:v>Chestnut, Black, Sand, Pink</x:v>
      </x:c>
      <x:c r="G220" s="22" t="str">
        <x:v>Kids 21-38 / dama 35-40</x:v>
      </x:c>
      <x:c r="H220" s="22" t="str">
        <x:v>Solo para temporada/regalo, no cargar demasiado.</x:v>
      </x:c>
      <x:c r="I220" s="22" t="str">
        <x:v>https://www.nordstrom.com/browse/back-to-school/shoes</x:v>
      </x:c>
      <x:c r="J220" s="22" t="str">
        <x:v>https://www.ugg.com/search?q=UGG%20Tasman%20%2F%20Tazz%20kids</x:v>
      </x:c>
    </x:row>
  </x:sheetData>
  <x:mergeCells>
    <x:mergeCell ref="A1:J1"/>
    <x:mergeCell ref="A2:J2"/>
  </x:mergeCells>
  <x:conditionalFormatting sqref="A6:A220">
    <x:cfRule type="containsText" dxfId="0" priority="1" operator="containsText" text="Alta"/>
    <x:cfRule type="containsText" dxfId="1" priority="2" operator="containsText" text="Media"/>
    <x:cfRule type="containsText" dxfId="2" priority="3" operator="containsText" text="Prueba"/>
  </x:conditionalFormatting>
  <x:pageMargins left="0.7" right="0.7" top="0.75" bottom="0.75" header="0.3" footer="0.3"/>
  <x:tableParts count="1">
    <x:tablePart xmlns:r="http://schemas.openxmlformats.org/officeDocument/2006/relationships" r:id="Rbce5df7240d1446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3.75" hidden="0" customWidth="1"/>
    <x:col min="3" max="3" width="11.880000114440918" hidden="0" customWidth="1"/>
    <x:col min="4" max="4" width="28.1299991607666" hidden="0" customWidth="1"/>
    <x:col min="5" max="5" width="45" hidden="0" customWidth="1"/>
    <x:col min="6" max="6" width="23.75" hidden="0" customWidth="1"/>
    <x:col min="7" max="7" width="37.5" hidden="0" customWidth="1"/>
    <x:col min="8" max="8" width="37.5" hidden="0" customWidth="1"/>
    <x:col min="9" max="9" width="37.5" hidden="0" customWidth="1"/>
  </x:cols>
  <x:sheetData>
    <x:row r="1">
      <x:c r="A1" s="16" t="str">
        <x:v>Machete Hombre</x:v>
      </x:c>
      <x:c r="B1" s="17"/>
      <x:c r="C1" s="17"/>
      <x:c r="D1" s="17"/>
      <x:c r="E1" s="17"/>
      <x:c r="F1" s="17"/>
      <x:c r="G1" s="17"/>
      <x:c r="H1" s="17"/>
      <x:c r="I1" s="17"/>
    </x:row>
    <x:row r="2">
      <x:c r="A2" s="18" t="str">
        <x:v>Misma base filtrada por cliente objetivo.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</x:row>
    <x:row r="5">
      <x:c r="A5" s="19" t="str">
        <x:v>Prioridad</x:v>
      </x:c>
      <x:c r="B5" s="19" t="str">
        <x:v>Segmento</x:v>
      </x:c>
      <x:c r="C5" s="19" t="str">
        <x:v>Marca</x:v>
      </x:c>
      <x:c r="D5" s="19" t="str">
        <x:v>Referencia / modelo</x:v>
      </x:c>
      <x:c r="E5" s="19" t="str">
        <x:v>Colores recomendados</x:v>
      </x:c>
      <x:c r="F5" s="19" t="str">
        <x:v>Talla objetivo</x:v>
      </x:c>
      <x:c r="G5" s="19" t="str">
        <x:v>Por que pedirla</x:v>
      </x:c>
      <x:c r="H5" s="19" t="str">
        <x:v>Fuente tendencia</x:v>
      </x:c>
      <x:c r="I5" s="19" t="str">
        <x:v>Busqueda oficial</x:v>
      </x:c>
    </x:row>
    <x:row r="6" ht="43.5" customHeight="1">
      <x:c r="A6" s="20" t="str">
        <x:v>Alta</x:v>
      </x:c>
      <x:c r="B6" s="20" t="str">
        <x:v>Retro Nike/Jordan</x:v>
      </x:c>
      <x:c r="C6" s="20" t="str">
        <x:v>Jordan</x:v>
      </x:c>
      <x:c r="D6" s="20" t="str">
        <x:v>Air Jordan 4 Retro</x:v>
      </x:c>
      <x:c r="E6" s="20" t="str">
        <x:v>White Cement, Military Blue, Bred, Thunder, Olive, Black Cat, Sail</x:v>
      </x:c>
      <x:c r="F6" s="20" t="str">
        <x:v>Hombre 39-44 / surtir 40-43</x:v>
      </x:c>
      <x:c r="G6" s="20" t="str">
        <x:v>Retro con rotacion fuerte; sirve para diciembre y regalo.</x:v>
      </x:c>
      <x:c r="H6" s="20" t="str">
        <x:v>https://stockx.com/about/sx-market-insights/big-facts-current-culture-index-2026/</x:v>
      </x:c>
      <x:c r="I6" s="20" t="str">
        <x:v>https://www.nike.com/w?q=Jordan%20Air%20Jordan%204%20Retro</x:v>
      </x:c>
    </x:row>
    <x:row r="7" ht="43.5" customHeight="1">
      <x:c r="A7" s="21" t="str">
        <x:v>Alta</x:v>
      </x:c>
      <x:c r="B7" s="21" t="str">
        <x:v>Retro Nike/Jordan</x:v>
      </x:c>
      <x:c r="C7" s="21" t="str">
        <x:v>Jordan</x:v>
      </x:c>
      <x:c r="D7" s="21" t="str">
        <x:v>Air Jordan 3 Retro</x:v>
      </x:c>
      <x:c r="E7" s="21" t="str">
        <x:v>White Cement, Black Cement, True Blue, Fire Red, Mocha, Craft Ivory</x:v>
      </x:c>
      <x:c r="F7" s="21" t="str">
        <x:v>Hombre 39-44 / surtir 40-43</x:v>
      </x:c>
      <x:c r="G7" s="21" t="str">
        <x:v>Retro con rotacion fuerte; sirve para diciembre y regalo.</x:v>
      </x:c>
      <x:c r="H7" s="21" t="str">
        <x:v>https://stockx.com/about/sx-market-insights/big-facts-current-culture-index-2026/</x:v>
      </x:c>
      <x:c r="I7" s="21" t="str">
        <x:v>https://www.nike.com/w?q=Jordan%20Air%20Jordan%203%20Retro</x:v>
      </x:c>
    </x:row>
    <x:row r="8" ht="43.5" customHeight="1">
      <x:c r="A8" s="21" t="str">
        <x:v>Alta</x:v>
      </x:c>
      <x:c r="B8" s="21" t="str">
        <x:v>Retro Nike/Jordan</x:v>
      </x:c>
      <x:c r="C8" s="21" t="str">
        <x:v>Jordan</x:v>
      </x:c>
      <x:c r="D8" s="21" t="str">
        <x:v>Air Jordan 1 Low OG</x:v>
      </x:c>
      <x:c r="E8" s="21" t="str">
        <x:v>Black Toe, Shadow, Chicago, Neutral Grey, Mocha, University Blue</x:v>
      </x:c>
      <x:c r="F8" s="21" t="str">
        <x:v>Hombre 39-44 / surtir 40-43</x:v>
      </x:c>
      <x:c r="G8" s="21" t="str">
        <x:v>Retro con rotacion fuerte; sirve para diciembre y regalo.</x:v>
      </x:c>
      <x:c r="H8" s="21" t="str">
        <x:v>https://stockx.com/about/sx-market-insights/big-facts-current-culture-index-2026/</x:v>
      </x:c>
      <x:c r="I8" s="21" t="str">
        <x:v>https://www.nike.com/w?q=Jordan%20Air%20Jordan%201%20Low%20OG</x:v>
      </x:c>
    </x:row>
    <x:row r="9" ht="43.5" customHeight="1">
      <x:c r="A9" s="21" t="str">
        <x:v>Media</x:v>
      </x:c>
      <x:c r="B9" s="21" t="str">
        <x:v>Retro Nike/Jordan</x:v>
      </x:c>
      <x:c r="C9" s="21" t="str">
        <x:v>Jordan</x:v>
      </x:c>
      <x:c r="D9" s="21" t="str">
        <x:v>Air Jordan 1 High OG</x:v>
      </x:c>
      <x:c r="E9" s="21" t="str">
        <x:v>Chicago, Bred, Royal, Shadow, Palomino, University Blue</x:v>
      </x:c>
      <x:c r="F9" s="21" t="str">
        <x:v>Hombre 39-44 / surtir 40-43</x:v>
      </x:c>
      <x:c r="G9" s="21" t="str">
        <x:v>Retro con rotacion fuerte; sirve para diciembre y regalo.</x:v>
      </x:c>
      <x:c r="H9" s="21" t="str">
        <x:v>https://stockx.com/about/sx-market-insights/big-facts-current-culture-index-2026/</x:v>
      </x:c>
      <x:c r="I9" s="21" t="str">
        <x:v>https://www.nike.com/w?q=Jordan%20Air%20Jordan%201%20High%20OG</x:v>
      </x:c>
    </x:row>
    <x:row r="10" ht="43.5" customHeight="1">
      <x:c r="A10" s="21" t="str">
        <x:v>Alta</x:v>
      </x:c>
      <x:c r="B10" s="21" t="str">
        <x:v>Retro Nike/Jordan</x:v>
      </x:c>
      <x:c r="C10" s="21" t="str">
        <x:v>Jordan</x:v>
      </x:c>
      <x:c r="D10" s="21" t="str">
        <x:v>Air Jordan 5 Retro</x:v>
      </x:c>
      <x:c r="E10" s="21" t="str">
        <x:v>Wolf Grey, Grape, Black Metallic, Fire Red, Olive, Burgundy</x:v>
      </x:c>
      <x:c r="F10" s="21" t="str">
        <x:v>Hombre 39-44 / surtir 40-43</x:v>
      </x:c>
      <x:c r="G10" s="21" t="str">
        <x:v>Retro con rotacion fuerte; sirve para diciembre y regalo.</x:v>
      </x:c>
      <x:c r="H10" s="21" t="str">
        <x:v>https://stockx.com/about/sx-market-insights/big-facts-current-culture-index-2026/</x:v>
      </x:c>
      <x:c r="I10" s="21" t="str">
        <x:v>https://www.nike.com/w?q=Jordan%20Air%20Jordan%205%20Retro</x:v>
      </x:c>
    </x:row>
    <x:row r="11" ht="43.5" customHeight="1">
      <x:c r="A11" s="21" t="str">
        <x:v>Alta</x:v>
      </x:c>
      <x:c r="B11" s="21" t="str">
        <x:v>Retro Nike/Jordan</x:v>
      </x:c>
      <x:c r="C11" s="21" t="str">
        <x:v>Jordan</x:v>
      </x:c>
      <x:c r="D11" s="21" t="str">
        <x:v>Air Jordan 11 Retro / Low</x:v>
      </x:c>
      <x:c r="E11" s="21" t="str">
        <x:v>Concord, Bred, Cool Grey, Space Jam, Cherry, Legend Blue</x:v>
      </x:c>
      <x:c r="F11" s="21" t="str">
        <x:v>Hombre 39-44 / surtir 40-43</x:v>
      </x:c>
      <x:c r="G11" s="21" t="str">
        <x:v>Retro con rotacion fuerte; sirve para diciembre y regalo.</x:v>
      </x:c>
      <x:c r="H11" s="21" t="str">
        <x:v>https://stockx.com/about/sx-market-insights/big-facts-current-culture-index-2026/</x:v>
      </x:c>
      <x:c r="I11" s="21" t="str">
        <x:v>https://www.nike.com/w?q=Jordan%20Air%20Jordan%2011%20Retro%20%2F%20Low</x:v>
      </x:c>
    </x:row>
    <x:row r="12" ht="43.5" customHeight="1">
      <x:c r="A12" s="21" t="str">
        <x:v>Media</x:v>
      </x:c>
      <x:c r="B12" s="21" t="str">
        <x:v>Retro Nike/Jordan</x:v>
      </x:c>
      <x:c r="C12" s="21" t="str">
        <x:v>Jordan</x:v>
      </x:c>
      <x:c r="D12" s="21" t="str">
        <x:v>Jordan Spizike Low</x:v>
      </x:c>
      <x:c r="E12" s="21" t="str">
        <x:v>Black/Red, White/Cement, University Blue, Olive, Sail</x:v>
      </x:c>
      <x:c r="F12" s="21" t="str">
        <x:v>Hombre 39-44 / surtir 40-43</x:v>
      </x:c>
      <x:c r="G12" s="21" t="str">
        <x:v>Retro con rotacion fuerte; sirve para diciembre y regalo.</x:v>
      </x:c>
      <x:c r="H12" s="21" t="str">
        <x:v>https://stockx.com/about/sx-market-insights/big-facts-current-culture-index-2026/</x:v>
      </x:c>
      <x:c r="I12" s="21" t="str">
        <x:v>https://www.nike.com/w?q=Jordan%20Jordan%20Spizike%20Low</x:v>
      </x:c>
    </x:row>
    <x:row r="13" ht="43.5" customHeight="1">
      <x:c r="A13" s="21" t="str">
        <x:v>Media</x:v>
      </x:c>
      <x:c r="B13" s="21" t="str">
        <x:v>Retro Nike/Jordan</x:v>
      </x:c>
      <x:c r="C13" s="21" t="str">
        <x:v>Jordan</x:v>
      </x:c>
      <x:c r="D13" s="21" t="str">
        <x:v>Jordan Jumpman Jack / Travis line</x:v>
      </x:c>
      <x:c r="E13" s="21" t="str">
        <x:v>Sail, Mocha, University Red, Black/White</x:v>
      </x:c>
      <x:c r="F13" s="21" t="str">
        <x:v>Hombre 39-44 / surtir 40-43</x:v>
      </x:c>
      <x:c r="G13" s="21" t="str">
        <x:v>Retro con rotacion fuerte; sirve para diciembre y regalo.</x:v>
      </x:c>
      <x:c r="H13" s="21" t="str">
        <x:v>https://stockx.com/about/sx-market-insights/big-facts-current-culture-index-2026/</x:v>
      </x:c>
      <x:c r="I13" s="21" t="str">
        <x:v>https://www.nike.com/w?q=Jordan%20Jordan%20Jumpman%20Jack%20%2F%20Travis%20line</x:v>
      </x:c>
    </x:row>
    <x:row r="14" ht="43.5" customHeight="1">
      <x:c r="A14" s="21" t="str">
        <x:v>Media</x:v>
      </x:c>
      <x:c r="B14" s="21" t="str">
        <x:v>Retro Nike/Jordan</x:v>
      </x:c>
      <x:c r="C14" s="21" t="str">
        <x:v>Jordan</x:v>
      </x:c>
      <x:c r="D14" s="21" t="str">
        <x:v>Jordan Tatum 3/4</x:v>
      </x:c>
      <x:c r="E14" s="21" t="str">
        <x:v>White/Black, Pink Lemonade, Blue Void, Red/Black</x:v>
      </x:c>
      <x:c r="F14" s="21" t="str">
        <x:v>Hombre 39-44 / surtir 40-43</x:v>
      </x:c>
      <x:c r="G14" s="21" t="str">
        <x:v>Retro con rotacion fuerte; sirve para diciembre y regalo.</x:v>
      </x:c>
      <x:c r="H14" s="21" t="str">
        <x:v>https://stockx.com/about/sx-market-insights/big-facts-current-culture-index-2026/</x:v>
      </x:c>
      <x:c r="I14" s="21" t="str">
        <x:v>https://www.nike.com/w?q=Jordan%20Jordan%20Tatum%203%2F4</x:v>
      </x:c>
    </x:row>
    <x:row r="15" ht="43.5" customHeight="1">
      <x:c r="A15" s="21" t="str">
        <x:v>Media</x:v>
      </x:c>
      <x:c r="B15" s="21" t="str">
        <x:v>Retro Nike/Jordan</x:v>
      </x:c>
      <x:c r="C15" s="21" t="str">
        <x:v>Jordan</x:v>
      </x:c>
      <x:c r="D15" s="21" t="str">
        <x:v>Jordan Luka 3/4</x:v>
      </x:c>
      <x:c r="E15" s="21" t="str">
        <x:v>White/Black, Teal/Pink, Blue/White, Red/Black</x:v>
      </x:c>
      <x:c r="F15" s="21" t="str">
        <x:v>Hombre 39-44 / surtir 40-43</x:v>
      </x:c>
      <x:c r="G15" s="21" t="str">
        <x:v>Retro con rotacion fuerte; sirve para diciembre y regalo.</x:v>
      </x:c>
      <x:c r="H15" s="21" t="str">
        <x:v>https://stockx.com/about/sx-market-insights/big-facts-current-culture-index-2026/</x:v>
      </x:c>
      <x:c r="I15" s="21" t="str">
        <x:v>https://www.nike.com/w?q=Jordan%20Jordan%20Luka%203%2F4</x:v>
      </x:c>
    </x:row>
    <x:row r="16" ht="43.5" customHeight="1">
      <x:c r="A16" s="21" t="str">
        <x:v>Alta</x:v>
      </x:c>
      <x:c r="B16" s="21" t="str">
        <x:v>Nike lifestyle / runner</x:v>
      </x:c>
      <x:c r="C16" s="21" t="str">
        <x:v>Nike</x:v>
      </x:c>
      <x:c r="D16" s="21" t="str">
        <x:v>Air Force 1 Low</x:v>
      </x:c>
      <x:c r="E16" s="21" t="str">
        <x:v>Triple White, Black/White, White/Gum, White/Red, White/Blue</x:v>
      </x:c>
      <x:c r="F16" s="21" t="str">
        <x:v>Hombre 39-44 / surtir 40-43</x:v>
      </x:c>
      <x:c r="G16" s="21" t="str">
        <x:v>Nike vuelve fuerte; mezcla de retro, runner y diario.</x:v>
      </x:c>
      <x:c r="H16" s="21" t="str">
        <x:v>https://stockx.com/about/sx-market-insights/big-facts-current-culture-index-2026/</x:v>
      </x:c>
      <x:c r="I16" s="21" t="str">
        <x:v>https://www.nike.com/w?q=Nike%20Air%20Force%201%20Low</x:v>
      </x:c>
    </x:row>
    <x:row r="17" ht="43.5" customHeight="1">
      <x:c r="A17" s="21" t="str">
        <x:v>Alta</x:v>
      </x:c>
      <x:c r="B17" s="21" t="str">
        <x:v>Nike lifestyle / runner</x:v>
      </x:c>
      <x:c r="C17" s="21" t="str">
        <x:v>Nike</x:v>
      </x:c>
      <x:c r="D17" s="21" t="str">
        <x:v>Nike Dunk Low</x:v>
      </x:c>
      <x:c r="E17" s="21" t="str">
        <x:v>Panda, Grey Fog, University Blue, Michigan, Cacao Wow</x:v>
      </x:c>
      <x:c r="F17" s="21" t="str">
        <x:v>Hombre 39-44 / surtir 40-43</x:v>
      </x:c>
      <x:c r="G17" s="21" t="str">
        <x:v>Nike vuelve fuerte; mezcla de retro, runner y diario.</x:v>
      </x:c>
      <x:c r="H17" s="21" t="str">
        <x:v>https://stockx.com/about/sx-market-insights/big-facts-current-culture-index-2026/</x:v>
      </x:c>
      <x:c r="I17" s="21" t="str">
        <x:v>https://www.nike.com/w?q=Nike%20Nike%20Dunk%20Low</x:v>
      </x:c>
    </x:row>
    <x:row r="18" ht="43.5" customHeight="1">
      <x:c r="A18" s="21" t="str">
        <x:v>Alta</x:v>
      </x:c>
      <x:c r="B18" s="21" t="str">
        <x:v>Nike lifestyle / runner</x:v>
      </x:c>
      <x:c r="C18" s="21" t="str">
        <x:v>Nike</x:v>
      </x:c>
      <x:c r="D18" s="21" t="str">
        <x:v>Nike Vomero 5</x:v>
      </x:c>
      <x:c r="E18" s="21" t="str">
        <x:v>Photon Dust, Metallic Silver, Black, Light Orewood, Supersonic</x:v>
      </x:c>
      <x:c r="F18" s="21" t="str">
        <x:v>Hombre 39-44 / surtir 40-43</x:v>
      </x:c>
      <x:c r="G18" s="21" t="str">
        <x:v>Nike vuelve fuerte; mezcla de retro, runner y diario.</x:v>
      </x:c>
      <x:c r="H18" s="21" t="str">
        <x:v>https://stockx.com/about/sx-market-insights/big-facts-current-culture-index-2026/</x:v>
      </x:c>
      <x:c r="I18" s="21" t="str">
        <x:v>https://www.nike.com/w?q=Nike%20Nike%20Vomero%205</x:v>
      </x:c>
    </x:row>
    <x:row r="19" ht="43.5" customHeight="1">
      <x:c r="A19" s="21" t="str">
        <x:v>Alta</x:v>
      </x:c>
      <x:c r="B19" s="21" t="str">
        <x:v>Nike lifestyle / runner</x:v>
      </x:c>
      <x:c r="C19" s="21" t="str">
        <x:v>Nike</x:v>
      </x:c>
      <x:c r="D19" s="21" t="str">
        <x:v>Nike P-6000</x:v>
      </x:c>
      <x:c r="E19" s="21" t="str">
        <x:v>Metallic Silver, White/Black, Platinum Tint, Black/Anthracite</x:v>
      </x:c>
      <x:c r="F19" s="21" t="str">
        <x:v>Hombre 39-44 / surtir 40-43</x:v>
      </x:c>
      <x:c r="G19" s="21" t="str">
        <x:v>Nike vuelve fuerte; mezcla de retro, runner y diario.</x:v>
      </x:c>
      <x:c r="H19" s="21" t="str">
        <x:v>https://stockx.com/about/sx-market-insights/big-facts-current-culture-index-2026/</x:v>
      </x:c>
      <x:c r="I19" s="21" t="str">
        <x:v>https://www.nike.com/w?q=Nike%20Nike%20P-6000</x:v>
      </x:c>
    </x:row>
    <x:row r="20" ht="43.5" customHeight="1">
      <x:c r="A20" s="21" t="str">
        <x:v>Media</x:v>
      </x:c>
      <x:c r="B20" s="21" t="str">
        <x:v>Nike lifestyle / runner</x:v>
      </x:c>
      <x:c r="C20" s="21" t="str">
        <x:v>Nike</x:v>
      </x:c>
      <x:c r="D20" s="21" t="str">
        <x:v>Nike V5 RNR</x:v>
      </x:c>
      <x:c r="E20" s="21" t="str">
        <x:v>Silver/Black, White/Blue, Black/White, Grey/Green</x:v>
      </x:c>
      <x:c r="F20" s="21" t="str">
        <x:v>Hombre 39-44 / surtir 40-43</x:v>
      </x:c>
      <x:c r="G20" s="21" t="str">
        <x:v>Nike vuelve fuerte; mezcla de retro, runner y diario.</x:v>
      </x:c>
      <x:c r="H20" s="21" t="str">
        <x:v>https://stockx.com/about/sx-market-insights/big-facts-current-culture-index-2026/</x:v>
      </x:c>
      <x:c r="I20" s="21" t="str">
        <x:v>https://www.nike.com/w?q=Nike%20Nike%20V5%20RNR</x:v>
      </x:c>
    </x:row>
    <x:row r="21" ht="43.5" customHeight="1">
      <x:c r="A21" s="21" t="str">
        <x:v>Media</x:v>
      </x:c>
      <x:c r="B21" s="21" t="str">
        <x:v>Nike lifestyle / runner</x:v>
      </x:c>
      <x:c r="C21" s="21" t="str">
        <x:v>Nike</x:v>
      </x:c>
      <x:c r="D21" s="21" t="str">
        <x:v>Nike Shox TL</x:v>
      </x:c>
      <x:c r="E21" s="21" t="str">
        <x:v>Black/Metallic, White/Silver, Orange, Triple Black</x:v>
      </x:c>
      <x:c r="F21" s="21" t="str">
        <x:v>Hombre 39-44 / surtir 40-43</x:v>
      </x:c>
      <x:c r="G21" s="21" t="str">
        <x:v>Nike vuelve fuerte; mezcla de retro, runner y diario.</x:v>
      </x:c>
      <x:c r="H21" s="21" t="str">
        <x:v>https://stockx.com/about/sx-market-insights/big-facts-current-culture-index-2026/</x:v>
      </x:c>
      <x:c r="I21" s="21" t="str">
        <x:v>https://www.nike.com/w?q=Nike%20Nike%20Shox%20TL</x:v>
      </x:c>
    </x:row>
    <x:row r="22" ht="43.5" customHeight="1">
      <x:c r="A22" s="21" t="str">
        <x:v>Media</x:v>
      </x:c>
      <x:c r="B22" s="21" t="str">
        <x:v>Nike lifestyle / runner</x:v>
      </x:c>
      <x:c r="C22" s="21" t="str">
        <x:v>Nike</x:v>
      </x:c>
      <x:c r="D22" s="21" t="str">
        <x:v>Nike Cortez</x:v>
      </x:c>
      <x:c r="E22" s="21" t="str">
        <x:v>Forrest Gump white/red/blue, Black/White, Nylon Blue, Yellow</x:v>
      </x:c>
      <x:c r="F22" s="21" t="str">
        <x:v>Hombre 39-44 / surtir 40-43</x:v>
      </x:c>
      <x:c r="G22" s="21" t="str">
        <x:v>Nike vuelve fuerte; mezcla de retro, runner y diario.</x:v>
      </x:c>
      <x:c r="H22" s="21" t="str">
        <x:v>https://stockx.com/about/sx-market-insights/big-facts-current-culture-index-2026/</x:v>
      </x:c>
      <x:c r="I22" s="21" t="str">
        <x:v>https://www.nike.com/w?q=Nike%20Nike%20Cortez</x:v>
      </x:c>
    </x:row>
    <x:row r="23" ht="43.5" customHeight="1">
      <x:c r="A23" s="21" t="str">
        <x:v>Media</x:v>
      </x:c>
      <x:c r="B23" s="21" t="str">
        <x:v>Nike lifestyle / runner</x:v>
      </x:c>
      <x:c r="C23" s="21" t="str">
        <x:v>Nike</x:v>
      </x:c>
      <x:c r="D23" s="21" t="str">
        <x:v>Nike Field General</x:v>
      </x:c>
      <x:c r="E23" s="21" t="str">
        <x:v>White/Black, White/Red, Gum, University Blue</x:v>
      </x:c>
      <x:c r="F23" s="21" t="str">
        <x:v>Hombre 39-44 / surtir 40-43</x:v>
      </x:c>
      <x:c r="G23" s="21" t="str">
        <x:v>Nike vuelve fuerte; mezcla de retro, runner y diario.</x:v>
      </x:c>
      <x:c r="H23" s="21" t="str">
        <x:v>https://stockx.com/about/sx-market-insights/big-facts-current-culture-index-2026/</x:v>
      </x:c>
      <x:c r="I23" s="21" t="str">
        <x:v>https://www.nike.com/w?q=Nike%20Nike%20Field%20General</x:v>
      </x:c>
    </x:row>
    <x:row r="24" ht="43.5" customHeight="1">
      <x:c r="A24" s="21" t="str">
        <x:v>Media</x:v>
      </x:c>
      <x:c r="B24" s="21" t="str">
        <x:v>Nike lifestyle / runner</x:v>
      </x:c>
      <x:c r="C24" s="21" t="str">
        <x:v>Nike</x:v>
      </x:c>
      <x:c r="D24" s="21" t="str">
        <x:v>Nike Air Max DN</x:v>
      </x:c>
      <x:c r="E24" s="21" t="str">
        <x:v>Black/White, Volt, Blue, Silver, All Black</x:v>
      </x:c>
      <x:c r="F24" s="21" t="str">
        <x:v>Hombre 39-44 / surtir 40-43</x:v>
      </x:c>
      <x:c r="G24" s="21" t="str">
        <x:v>Nike vuelve fuerte; mezcla de retro, runner y diario.</x:v>
      </x:c>
      <x:c r="H24" s="21" t="str">
        <x:v>https://stockx.com/about/sx-market-insights/big-facts-current-culture-index-2026/</x:v>
      </x:c>
      <x:c r="I24" s="21" t="str">
        <x:v>https://www.nike.com/w?q=Nike%20Nike%20Air%20Max%20DN</x:v>
      </x:c>
    </x:row>
    <x:row r="25" ht="43.5" customHeight="1">
      <x:c r="A25" s="21" t="str">
        <x:v>Media</x:v>
      </x:c>
      <x:c r="B25" s="21" t="str">
        <x:v>Nike lifestyle / runner</x:v>
      </x:c>
      <x:c r="C25" s="21" t="str">
        <x:v>Nike</x:v>
      </x:c>
      <x:c r="D25" s="21" t="str">
        <x:v>Nike Air Max Plus TN</x:v>
      </x:c>
      <x:c r="E25" s="21" t="str">
        <x:v>Black/Orange, Hyper Blue, Triple Black, Silver</x:v>
      </x:c>
      <x:c r="F25" s="21" t="str">
        <x:v>Hombre 39-44 / surtir 40-43</x:v>
      </x:c>
      <x:c r="G25" s="21" t="str">
        <x:v>Nike vuelve fuerte; mezcla de retro, runner y diario.</x:v>
      </x:c>
      <x:c r="H25" s="21" t="str">
        <x:v>https://stockx.com/about/sx-market-insights/big-facts-current-culture-index-2026/</x:v>
      </x:c>
      <x:c r="I25" s="21" t="str">
        <x:v>https://www.nike.com/w?q=Nike%20Nike%20Air%20Max%20Plus%20TN</x:v>
      </x:c>
    </x:row>
    <x:row r="26" ht="43.5" customHeight="1">
      <x:c r="A26" s="21" t="str">
        <x:v>Media</x:v>
      </x:c>
      <x:c r="B26" s="21" t="str">
        <x:v>Nike lifestyle / runner</x:v>
      </x:c>
      <x:c r="C26" s="21" t="str">
        <x:v>Nike</x:v>
      </x:c>
      <x:c r="D26" s="21" t="str">
        <x:v>Nike Air Max 95</x:v>
      </x:c>
      <x:c r="E26" s="21" t="str">
        <x:v>Neon, Grey Gradient, Black, Silver, Olive</x:v>
      </x:c>
      <x:c r="F26" s="21" t="str">
        <x:v>Hombre 39-44 / surtir 40-43</x:v>
      </x:c>
      <x:c r="G26" s="21" t="str">
        <x:v>Nike vuelve fuerte; mezcla de retro, runner y diario.</x:v>
      </x:c>
      <x:c r="H26" s="21" t="str">
        <x:v>https://stockx.com/about/sx-market-insights/big-facts-current-culture-index-2026/</x:v>
      </x:c>
      <x:c r="I26" s="21" t="str">
        <x:v>https://www.nike.com/w?q=Nike%20Nike%20Air%20Max%2095</x:v>
      </x:c>
    </x:row>
    <x:row r="27" ht="43.5" customHeight="1">
      <x:c r="A27" s="21" t="str">
        <x:v>Media</x:v>
      </x:c>
      <x:c r="B27" s="21" t="str">
        <x:v>Nike lifestyle / runner</x:v>
      </x:c>
      <x:c r="C27" s="21" t="str">
        <x:v>Nike</x:v>
      </x:c>
      <x:c r="D27" s="21" t="str">
        <x:v>Nike Air Max 90</x:v>
      </x:c>
      <x:c r="E27" s="21" t="str">
        <x:v>Infrared, White/Black, Grey, Navy, Burgundy</x:v>
      </x:c>
      <x:c r="F27" s="21" t="str">
        <x:v>Hombre 39-44 / surtir 40-43</x:v>
      </x:c>
      <x:c r="G27" s="21" t="str">
        <x:v>Nike vuelve fuerte; mezcla de retro, runner y diario.</x:v>
      </x:c>
      <x:c r="H27" s="21" t="str">
        <x:v>https://stockx.com/about/sx-market-insights/big-facts-current-culture-index-2026/</x:v>
      </x:c>
      <x:c r="I27" s="21" t="str">
        <x:v>https://www.nike.com/w?q=Nike%20Nike%20Air%20Max%2090</x:v>
      </x:c>
    </x:row>
    <x:row r="28" ht="43.5" customHeight="1">
      <x:c r="A28" s="21" t="str">
        <x:v>Prueba</x:v>
      </x:c>
      <x:c r="B28" s="21" t="str">
        <x:v>Nike lifestyle / runner</x:v>
      </x:c>
      <x:c r="C28" s="21" t="str">
        <x:v>Nike</x:v>
      </x:c>
      <x:c r="D28" s="21" t="str">
        <x:v>Nike Killshot 2</x:v>
      </x:c>
      <x:c r="E28" s="21" t="str">
        <x:v>Sail/Gum, Navy, Green, Black, Red</x:v>
      </x:c>
      <x:c r="F28" s="21" t="str">
        <x:v>Hombre 39-44 / surtir 40-43</x:v>
      </x:c>
      <x:c r="G28" s="21" t="str">
        <x:v>Nike vuelve fuerte; mezcla de retro, runner y diario.</x:v>
      </x:c>
      <x:c r="H28" s="21" t="str">
        <x:v>https://stockx.com/about/sx-market-insights/big-facts-current-culture-index-2026/</x:v>
      </x:c>
      <x:c r="I28" s="21" t="str">
        <x:v>https://www.nike.com/w?q=Nike%20Nike%20Killshot%202</x:v>
      </x:c>
    </x:row>
    <x:row r="29" ht="43.5" customHeight="1">
      <x:c r="A29" s="21" t="str">
        <x:v>Prueba</x:v>
      </x:c>
      <x:c r="B29" s="21" t="str">
        <x:v>Nike lifestyle / runner</x:v>
      </x:c>
      <x:c r="C29" s="21" t="str">
        <x:v>Nike</x:v>
      </x:c>
      <x:c r="D29" s="21" t="str">
        <x:v>Nike Mac Attack</x:v>
      </x:c>
      <x:c r="E29" s="21" t="str">
        <x:v>Grey/Black, Red Crush, Sail, Game Royal</x:v>
      </x:c>
      <x:c r="F29" s="21" t="str">
        <x:v>Hombre 39-44 / surtir 40-43</x:v>
      </x:c>
      <x:c r="G29" s="21" t="str">
        <x:v>Nike vuelve fuerte; mezcla de retro, runner y diario.</x:v>
      </x:c>
      <x:c r="H29" s="21" t="str">
        <x:v>https://stockx.com/about/sx-market-insights/big-facts-current-culture-index-2026/</x:v>
      </x:c>
      <x:c r="I29" s="21" t="str">
        <x:v>https://www.nike.com/w?q=Nike%20Nike%20Mac%20Attack</x:v>
      </x:c>
    </x:row>
    <x:row r="30" ht="43.5" customHeight="1">
      <x:c r="A30" s="21" t="str">
        <x:v>Prueba</x:v>
      </x:c>
      <x:c r="B30" s="21" t="str">
        <x:v>Nike lifestyle / runner</x:v>
      </x:c>
      <x:c r="C30" s="21" t="str">
        <x:v>Nike</x:v>
      </x:c>
      <x:c r="D30" s="21" t="str">
        <x:v>Nike Total 90 / futbol lifestyle</x:v>
      </x:c>
      <x:c r="E30" s="21" t="str">
        <x:v>White/Black, Silver, Blue, Red</x:v>
      </x:c>
      <x:c r="F30" s="21" t="str">
        <x:v>Hombre 39-44 / surtir 40-43</x:v>
      </x:c>
      <x:c r="G30" s="21" t="str">
        <x:v>Nike vuelve fuerte; mezcla de retro, runner y diario.</x:v>
      </x:c>
      <x:c r="H30" s="21" t="str">
        <x:v>https://stockx.com/about/sx-market-insights/big-facts-current-culture-index-2026/</x:v>
      </x:c>
      <x:c r="I30" s="21" t="str">
        <x:v>https://www.nike.com/w?q=Nike%20Nike%20Total%2090%20%2F%20futbol%20lifestyle</x:v>
      </x:c>
    </x:row>
    <x:row r="31" ht="43.5" customHeight="1">
      <x:c r="A31" s="21" t="str">
        <x:v>Alta</x:v>
      </x:c>
      <x:c r="B31" s="21" t="str">
        <x:v>Basket actual</x:v>
      </x:c>
      <x:c r="C31" s="21" t="str">
        <x:v>Nike</x:v>
      </x:c>
      <x:c r="D31" s="21" t="str">
        <x:v>Nike Kobe 4 Protro</x:v>
      </x:c>
      <x:c r="E31" s="21" t="str">
        <x:v>Carpe Diem, Philly, Girl Dad, Black/Gold, Lakers</x:v>
      </x:c>
      <x:c r="F31" s="21" t="str">
        <x:v>Hombre 39-45 / basket 41-44</x:v>
      </x:c>
      <x:c r="G31" s="21" t="str">
        <x:v>Firmas actuales con cancha-calle; buenas para jovenes.</x:v>
      </x:c>
      <x:c r="H31" s="21" t="str">
        <x:v>https://www.si.com/fannation/sneakers/news/10-best-back-to-school-shoes-of-2026</x:v>
      </x:c>
      <x:c r="I31" s="21" t="str">
        <x:v>https://www.nike.com/w?q=Nike%20Nike%20Kobe%204%20Protro</x:v>
      </x:c>
    </x:row>
    <x:row r="32" ht="43.5" customHeight="1">
      <x:c r="A32" s="21" t="str">
        <x:v>Alta</x:v>
      </x:c>
      <x:c r="B32" s="21" t="str">
        <x:v>Basket actual</x:v>
      </x:c>
      <x:c r="C32" s="21" t="str">
        <x:v>Nike</x:v>
      </x:c>
      <x:c r="D32" s="21" t="str">
        <x:v>Nike Kobe 5 Protro</x:v>
      </x:c>
      <x:c r="E32" s="21" t="str">
        <x:v>Bruce Lee, Chaos, Lakers, Year of Mamba, X-Ray</x:v>
      </x:c>
      <x:c r="F32" s="21" t="str">
        <x:v>Hombre 39-45 / basket 41-44</x:v>
      </x:c>
      <x:c r="G32" s="21" t="str">
        <x:v>Firmas actuales con cancha-calle; buenas para jovenes.</x:v>
      </x:c>
      <x:c r="H32" s="21" t="str">
        <x:v>https://www.si.com/fannation/sneakers/news/10-best-back-to-school-shoes-of-2026</x:v>
      </x:c>
      <x:c r="I32" s="21" t="str">
        <x:v>https://www.nike.com/w?q=Nike%20Nike%20Kobe%205%20Protro</x:v>
      </x:c>
    </x:row>
    <x:row r="33" ht="43.5" customHeight="1">
      <x:c r="A33" s="21" t="str">
        <x:v>Alta</x:v>
      </x:c>
      <x:c r="B33" s="21" t="str">
        <x:v>Basket actual</x:v>
      </x:c>
      <x:c r="C33" s="21" t="str">
        <x:v>Nike</x:v>
      </x:c>
      <x:c r="D33" s="21" t="str">
        <x:v>Nike Kobe 6 Protro</x:v>
      </x:c>
      <x:c r="E33" s="21" t="str">
        <x:v>Grinch, Reverse Grinch, Italian Camo, All-Star, Dodgers</x:v>
      </x:c>
      <x:c r="F33" s="21" t="str">
        <x:v>Hombre 39-45 / basket 41-44</x:v>
      </x:c>
      <x:c r="G33" s="21" t="str">
        <x:v>Firmas actuales con cancha-calle; buenas para jovenes.</x:v>
      </x:c>
      <x:c r="H33" s="21" t="str">
        <x:v>https://www.si.com/fannation/sneakers/news/10-best-back-to-school-shoes-of-2026</x:v>
      </x:c>
      <x:c r="I33" s="21" t="str">
        <x:v>https://www.nike.com/w?q=Nike%20Nike%20Kobe%206%20Protro</x:v>
      </x:c>
    </x:row>
    <x:row r="34" ht="43.5" customHeight="1">
      <x:c r="A34" s="21" t="str">
        <x:v>Alta</x:v>
      </x:c>
      <x:c r="B34" s="21" t="str">
        <x:v>Basket actual</x:v>
      </x:c>
      <x:c r="C34" s="21" t="str">
        <x:v>Nike</x:v>
      </x:c>
      <x:c r="D34" s="21" t="str">
        <x:v>Nike Kobe 8 Protro</x:v>
      </x:c>
      <x:c r="E34" s="21" t="str">
        <x:v>Halo, Venice Beach, Court Purple, Lakers, Aqua</x:v>
      </x:c>
      <x:c r="F34" s="21" t="str">
        <x:v>Hombre 39-45 / basket 41-44</x:v>
      </x:c>
      <x:c r="G34" s="21" t="str">
        <x:v>Firmas actuales con cancha-calle; buenas para jovenes.</x:v>
      </x:c>
      <x:c r="H34" s="21" t="str">
        <x:v>https://www.si.com/fannation/sneakers/news/10-best-back-to-school-shoes-of-2026</x:v>
      </x:c>
      <x:c r="I34" s="21" t="str">
        <x:v>https://www.nike.com/w?q=Nike%20Nike%20Kobe%208%20Protro</x:v>
      </x:c>
    </x:row>
    <x:row r="35" ht="43.5" customHeight="1">
      <x:c r="A35" s="21" t="str">
        <x:v>Alta</x:v>
      </x:c>
      <x:c r="B35" s="21" t="str">
        <x:v>Basket actual</x:v>
      </x:c>
      <x:c r="C35" s="21" t="str">
        <x:v>Nike</x:v>
      </x:c>
      <x:c r="D35" s="21" t="str">
        <x:v>Nike Kobe 9 Elite/Low</x:v>
      </x:c>
      <x:c r="E35" s="21" t="str">
        <x:v>Masterpiece, Halo, Beethoven, Black/White</x:v>
      </x:c>
      <x:c r="F35" s="21" t="str">
        <x:v>Hombre 39-45 / basket 41-44</x:v>
      </x:c>
      <x:c r="G35" s="21" t="str">
        <x:v>Firmas actuales con cancha-calle; buenas para jovenes.</x:v>
      </x:c>
      <x:c r="H35" s="21" t="str">
        <x:v>https://www.si.com/fannation/sneakers/news/10-best-back-to-school-shoes-of-2026</x:v>
      </x:c>
      <x:c r="I35" s="21" t="str">
        <x:v>https://www.nike.com/w?q=Nike%20Nike%20Kobe%209%20Elite%2FLow</x:v>
      </x:c>
    </x:row>
    <x:row r="36" ht="43.5" customHeight="1">
      <x:c r="A36" s="21" t="str">
        <x:v>Alta</x:v>
      </x:c>
      <x:c r="B36" s="21" t="str">
        <x:v>Basket actual</x:v>
      </x:c>
      <x:c r="C36" s="21" t="str">
        <x:v>Nike</x:v>
      </x:c>
      <x:c r="D36" s="21" t="str">
        <x:v>Nike Sabrina 3</x:v>
      </x:c>
      <x:c r="E36" s="21" t="str">
        <x:v>Ivory/Black, Light Blue, Pink, University Red, Lavender</x:v>
      </x:c>
      <x:c r="F36" s="21" t="str">
        <x:v>Hombre 39-45 / basket 41-44</x:v>
      </x:c>
      <x:c r="G36" s="21" t="str">
        <x:v>Firmas actuales con cancha-calle; buenas para jovenes.</x:v>
      </x:c>
      <x:c r="H36" s="21" t="str">
        <x:v>https://www.si.com/fannation/sneakers/news/10-best-back-to-school-shoes-of-2026</x:v>
      </x:c>
      <x:c r="I36" s="21" t="str">
        <x:v>https://www.nike.com/w?q=Nike%20Nike%20Sabrina%203</x:v>
      </x:c>
    </x:row>
    <x:row r="37" ht="43.5" customHeight="1">
      <x:c r="A37" s="21" t="str">
        <x:v>Alta</x:v>
      </x:c>
      <x:c r="B37" s="21" t="str">
        <x:v>Basket actual</x:v>
      </x:c>
      <x:c r="C37" s="21" t="str">
        <x:v>Nike</x:v>
      </x:c>
      <x:c r="D37" s="21" t="str">
        <x:v>Nike Ja 2/3</x:v>
      </x:c>
      <x:c r="E37" s="21" t="str">
        <x:v>Purple/Lime, Black/Red, Halloween Orange, Light Blue</x:v>
      </x:c>
      <x:c r="F37" s="21" t="str">
        <x:v>Hombre 39-45 / basket 41-44</x:v>
      </x:c>
      <x:c r="G37" s="21" t="str">
        <x:v>Firmas actuales con cancha-calle; buenas para jovenes.</x:v>
      </x:c>
      <x:c r="H37" s="21" t="str">
        <x:v>https://www.si.com/fannation/sneakers/news/10-best-back-to-school-shoes-of-2026</x:v>
      </x:c>
      <x:c r="I37" s="21" t="str">
        <x:v>https://www.nike.com/w?q=Nike%20Nike%20Ja%202%2F3</x:v>
      </x:c>
    </x:row>
    <x:row r="38" ht="43.5" customHeight="1">
      <x:c r="A38" s="21" t="str">
        <x:v>Media</x:v>
      </x:c>
      <x:c r="B38" s="21" t="str">
        <x:v>Basket actual</x:v>
      </x:c>
      <x:c r="C38" s="21" t="str">
        <x:v>Nike</x:v>
      </x:c>
      <x:c r="D38" s="21" t="str">
        <x:v>Nike KD 17/18/19</x:v>
      </x:c>
      <x:c r="E38" s="21" t="str">
        <x:v>Aunt Pearl, Black/White, Blue/Orange, Red/Black, Silver</x:v>
      </x:c>
      <x:c r="F38" s="21" t="str">
        <x:v>Hombre 39-45 / basket 41-44</x:v>
      </x:c>
      <x:c r="G38" s="21" t="str">
        <x:v>Firmas actuales con cancha-calle; buenas para jovenes.</x:v>
      </x:c>
      <x:c r="H38" s="21" t="str">
        <x:v>https://www.si.com/fannation/sneakers/news/10-best-back-to-school-shoes-of-2026</x:v>
      </x:c>
      <x:c r="I38" s="21" t="str">
        <x:v>https://www.nike.com/w?q=Nike%20Nike%20KD%2017%2F18%2F19</x:v>
      </x:c>
    </x:row>
    <x:row r="39" ht="43.5" customHeight="1">
      <x:c r="A39" s="21" t="str">
        <x:v>Media</x:v>
      </x:c>
      <x:c r="B39" s="21" t="str">
        <x:v>Basket actual</x:v>
      </x:c>
      <x:c r="C39" s="21" t="str">
        <x:v>Nike</x:v>
      </x:c>
      <x:c r="D39" s="21" t="str">
        <x:v>Nike GT Cut 3/4</x:v>
      </x:c>
      <x:c r="E39" s="21" t="str">
        <x:v>White/Black, Volt, Blue, Orange, Pink/Black</x:v>
      </x:c>
      <x:c r="F39" s="21" t="str">
        <x:v>Hombre 39-45 / basket 41-44</x:v>
      </x:c>
      <x:c r="G39" s="21" t="str">
        <x:v>Firmas actuales con cancha-calle; buenas para jovenes.</x:v>
      </x:c>
      <x:c r="H39" s="21" t="str">
        <x:v>https://www.si.com/fannation/sneakers/news/10-best-back-to-school-shoes-of-2026</x:v>
      </x:c>
      <x:c r="I39" s="21" t="str">
        <x:v>https://www.nike.com/w?q=Nike%20Nike%20GT%20Cut%203%2F4</x:v>
      </x:c>
    </x:row>
    <x:row r="40" ht="43.5" customHeight="1">
      <x:c r="A40" s="21" t="str">
        <x:v>Alta</x:v>
      </x:c>
      <x:c r="B40" s="21" t="str">
        <x:v>Basket actual</x:v>
      </x:c>
      <x:c r="C40" s="21" t="str">
        <x:v>Nike</x:v>
      </x:c>
      <x:c r="D40" s="21" t="str">
        <x:v>Nike GT Future</x:v>
      </x:c>
      <x:c r="E40" s="21" t="str">
        <x:v>Silver, Black/White, Grey, Sail, Metallic Blue</x:v>
      </x:c>
      <x:c r="F40" s="21" t="str">
        <x:v>Hombre 39-45 / basket 41-44</x:v>
      </x:c>
      <x:c r="G40" s="21" t="str">
        <x:v>Firmas actuales con cancha-calle; buenas para jovenes.</x:v>
      </x:c>
      <x:c r="H40" s="21" t="str">
        <x:v>https://www.si.com/fannation/sneakers/news/10-best-back-to-school-shoes-of-2026</x:v>
      </x:c>
      <x:c r="I40" s="21" t="str">
        <x:v>https://www.nike.com/w?q=Nike%20Nike%20GT%20Future</x:v>
      </x:c>
    </x:row>
    <x:row r="41" ht="43.5" customHeight="1">
      <x:c r="A41" s="21" t="str">
        <x:v>Media</x:v>
      </x:c>
      <x:c r="B41" s="21" t="str">
        <x:v>Basket actual</x:v>
      </x:c>
      <x:c r="C41" s="21" t="str">
        <x:v>Nike</x:v>
      </x:c>
      <x:c r="D41" s="21" t="str">
        <x:v>Nike LeBron 22/23</x:v>
      </x:c>
      <x:c r="E41" s="21" t="str">
        <x:v>Black/Gold, Lakers, White/Navy, Red/Black</x:v>
      </x:c>
      <x:c r="F41" s="21" t="str">
        <x:v>Hombre 39-45 / basket 41-44</x:v>
      </x:c>
      <x:c r="G41" s="21" t="str">
        <x:v>Firmas actuales con cancha-calle; buenas para jovenes.</x:v>
      </x:c>
      <x:c r="H41" s="21" t="str">
        <x:v>https://www.si.com/fannation/sneakers/news/10-best-back-to-school-shoes-of-2026</x:v>
      </x:c>
      <x:c r="I41" s="21" t="str">
        <x:v>https://www.nike.com/w?q=Nike%20Nike%20LeBron%2022%2F23</x:v>
      </x:c>
    </x:row>
    <x:row r="42" ht="43.5" customHeight="1">
      <x:c r="A42" s="21" t="str">
        <x:v>Alta</x:v>
      </x:c>
      <x:c r="B42" s="21" t="str">
        <x:v>Basket actual</x:v>
      </x:c>
      <x:c r="C42" s="21" t="str">
        <x:v>Nike</x:v>
      </x:c>
      <x:c r="D42" s="21" t="str">
        <x:v>Nike A'ja Wilson A'One/A'Two</x:v>
      </x:c>
      <x:c r="E42" s="21" t="str">
        <x:v>Cream/Black, Pink, Silver, Burgundy, White/Green</x:v>
      </x:c>
      <x:c r="F42" s="21" t="str">
        <x:v>Hombre 39-45 / basket 41-44</x:v>
      </x:c>
      <x:c r="G42" s="21" t="str">
        <x:v>Firmas actuales con cancha-calle; buenas para jovenes.</x:v>
      </x:c>
      <x:c r="H42" s="21" t="str">
        <x:v>https://www.si.com/fannation/sneakers/news/10-best-back-to-school-shoes-of-2026</x:v>
      </x:c>
      <x:c r="I42" s="21" t="str">
        <x:v>https://www.nike.com/w?q=Nike%20Nike%20A'ja%20Wilson%20A'One%2FA'Two</x:v>
      </x:c>
    </x:row>
    <x:row r="43" ht="43.5" customHeight="1">
      <x:c r="A43" s="21" t="str">
        <x:v>Alta</x:v>
      </x:c>
      <x:c r="B43" s="21" t="str">
        <x:v>Adidas terrace / moda</x:v>
      </x:c>
      <x:c r="C43" s="21" t="str">
        <x:v>adidas</x:v>
      </x:c>
      <x:c r="D43" s="21" t="str">
        <x:v>Samba OG</x:v>
      </x:c>
      <x:c r="E43" s="21" t="str">
        <x:v>White/Black, Black/White, Collegiate Green, Navy, Burgundy</x:v>
      </x:c>
      <x:c r="F43" s="21" t="str">
        <x:v>Hombre 39-44 / surtir 40-43</x:v>
      </x:c>
      <x:c r="G43" s="21" t="str">
        <x:v>Terrace, futbol y retro siguen fuertes; faciles para outfits.</x:v>
      </x:c>
      <x:c r="H43" s="21" t="str">
        <x:v>https://www.adidas.com/us/release-dates</x:v>
      </x:c>
      <x:c r="I43" s="21" t="str">
        <x:v>https://www.adidas.com/us/search?q=adidas%20Samba%20OG</x:v>
      </x:c>
    </x:row>
    <x:row r="44" ht="43.5" customHeight="1">
      <x:c r="A44" s="21" t="str">
        <x:v>Alta</x:v>
      </x:c>
      <x:c r="B44" s="21" t="str">
        <x:v>Adidas terrace / moda</x:v>
      </x:c>
      <x:c r="C44" s="21" t="str">
        <x:v>adidas</x:v>
      </x:c>
      <x:c r="D44" s="21" t="str">
        <x:v>Samba LT / Pony Hair</x:v>
      </x:c>
      <x:c r="E44" s="21" t="str">
        <x:v>Black/White, Brown Pony, Leopard, Silver, Cream</x:v>
      </x:c>
      <x:c r="F44" s="21" t="str">
        <x:v>Hombre 39-44 / surtir 40-43</x:v>
      </x:c>
      <x:c r="G44" s="21" t="str">
        <x:v>Terrace, futbol y retro siguen fuertes; faciles para outfits.</x:v>
      </x:c>
      <x:c r="H44" s="21" t="str">
        <x:v>https://www.adidas.com/us/release-dates</x:v>
      </x:c>
      <x:c r="I44" s="21" t="str">
        <x:v>https://www.adidas.com/us/search?q=adidas%20Samba%20LT%20%2F%20Pony%20Hair</x:v>
      </x:c>
    </x:row>
    <x:row r="45" ht="43.5" customHeight="1">
      <x:c r="A45" s="21" t="str">
        <x:v>Alta</x:v>
      </x:c>
      <x:c r="B45" s="21" t="str">
        <x:v>Adidas terrace / moda</x:v>
      </x:c>
      <x:c r="C45" s="21" t="str">
        <x:v>adidas</x:v>
      </x:c>
      <x:c r="D45" s="21" t="str">
        <x:v>Gazelle Indoor</x:v>
      </x:c>
      <x:c r="E45" s="21" t="str">
        <x:v>Blue/Gum, Green/Gum, Burgundy/Gum, Pink, Yellow Butter</x:v>
      </x:c>
      <x:c r="F45" s="21" t="str">
        <x:v>Hombre 39-44 / surtir 40-43</x:v>
      </x:c>
      <x:c r="G45" s="21" t="str">
        <x:v>Terrace, futbol y retro siguen fuertes; faciles para outfits.</x:v>
      </x:c>
      <x:c r="H45" s="21" t="str">
        <x:v>https://www.adidas.com/us/release-dates</x:v>
      </x:c>
      <x:c r="I45" s="21" t="str">
        <x:v>https://www.adidas.com/us/search?q=adidas%20Gazelle%20Indoor</x:v>
      </x:c>
    </x:row>
    <x:row r="46" ht="43.5" customHeight="1">
      <x:c r="A46" s="21" t="str">
        <x:v>Alta</x:v>
      </x:c>
      <x:c r="B46" s="21" t="str">
        <x:v>Adidas terrace / moda</x:v>
      </x:c>
      <x:c r="C46" s="21" t="str">
        <x:v>adidas</x:v>
      </x:c>
      <x:c r="D46" s="21" t="str">
        <x:v>Handball Spezial</x:v>
      </x:c>
      <x:c r="E46" s="21" t="str">
        <x:v>Navy/Gum, Brown, Light Blue, Green, Black/Gum</x:v>
      </x:c>
      <x:c r="F46" s="21" t="str">
        <x:v>Hombre 39-44 / surtir 40-43</x:v>
      </x:c>
      <x:c r="G46" s="21" t="str">
        <x:v>Terrace, futbol y retro siguen fuertes; faciles para outfits.</x:v>
      </x:c>
      <x:c r="H46" s="21" t="str">
        <x:v>https://www.adidas.com/us/release-dates</x:v>
      </x:c>
      <x:c r="I46" s="21" t="str">
        <x:v>https://www.adidas.com/us/search?q=adidas%20Handball%20Spezial</x:v>
      </x:c>
    </x:row>
    <x:row r="47" ht="43.5" customHeight="1">
      <x:c r="A47" s="21" t="str">
        <x:v>Alta</x:v>
      </x:c>
      <x:c r="B47" s="21" t="str">
        <x:v>Adidas terrace / moda</x:v>
      </x:c>
      <x:c r="C47" s="21" t="str">
        <x:v>adidas</x:v>
      </x:c>
      <x:c r="D47" s="21" t="str">
        <x:v>Campus 00s</x:v>
      </x:c>
      <x:c r="E47" s="21" t="str">
        <x:v>Grey/White, Black/White, Green, Brown, Blue</x:v>
      </x:c>
      <x:c r="F47" s="21" t="str">
        <x:v>Hombre 39-44 / surtir 40-43</x:v>
      </x:c>
      <x:c r="G47" s="21" t="str">
        <x:v>Terrace, futbol y retro siguen fuertes; faciles para outfits.</x:v>
      </x:c>
      <x:c r="H47" s="21" t="str">
        <x:v>https://www.adidas.com/us/release-dates</x:v>
      </x:c>
      <x:c r="I47" s="21" t="str">
        <x:v>https://www.adidas.com/us/search?q=adidas%20Campus%2000s</x:v>
      </x:c>
    </x:row>
    <x:row r="48" ht="43.5" customHeight="1">
      <x:c r="A48" s="21" t="str">
        <x:v>Media</x:v>
      </x:c>
      <x:c r="B48" s="21" t="str">
        <x:v>Adidas terrace / moda</x:v>
      </x:c>
      <x:c r="C48" s="21" t="str">
        <x:v>adidas</x:v>
      </x:c>
      <x:c r="D48" s="21" t="str">
        <x:v>SL 72 RS</x:v>
      </x:c>
      <x:c r="E48" s="21" t="str">
        <x:v>Yellow, Blue, Green, Red, Silver</x:v>
      </x:c>
      <x:c r="F48" s="21" t="str">
        <x:v>Hombre 39-44 / surtir 40-43</x:v>
      </x:c>
      <x:c r="G48" s="21" t="str">
        <x:v>Terrace, futbol y retro siguen fuertes; faciles para outfits.</x:v>
      </x:c>
      <x:c r="H48" s="21" t="str">
        <x:v>https://www.adidas.com/us/release-dates</x:v>
      </x:c>
      <x:c r="I48" s="21" t="str">
        <x:v>https://www.adidas.com/us/search?q=adidas%20SL%2072%20RS</x:v>
      </x:c>
    </x:row>
    <x:row r="49" ht="43.5" customHeight="1">
      <x:c r="A49" s="21" t="str">
        <x:v>Media</x:v>
      </x:c>
      <x:c r="B49" s="21" t="str">
        <x:v>Adidas terrace / moda</x:v>
      </x:c>
      <x:c r="C49" s="21" t="str">
        <x:v>adidas</x:v>
      </x:c>
      <x:c r="D49" s="21" t="str">
        <x:v>Tokyo</x:v>
      </x:c>
      <x:c r="E49" s="21" t="str">
        <x:v>Black/White, Silver, Red, Navy, Yellow</x:v>
      </x:c>
      <x:c r="F49" s="21" t="str">
        <x:v>Hombre 39-44 / surtir 40-43</x:v>
      </x:c>
      <x:c r="G49" s="21" t="str">
        <x:v>Terrace, futbol y retro siguen fuertes; faciles para outfits.</x:v>
      </x:c>
      <x:c r="H49" s="21" t="str">
        <x:v>https://www.adidas.com/us/release-dates</x:v>
      </x:c>
      <x:c r="I49" s="21" t="str">
        <x:v>https://www.adidas.com/us/search?q=adidas%20Tokyo</x:v>
      </x:c>
    </x:row>
    <x:row r="50" ht="43.5" customHeight="1">
      <x:c r="A50" s="21" t="str">
        <x:v>Media</x:v>
      </x:c>
      <x:c r="B50" s="21" t="str">
        <x:v>Adidas terrace / moda</x:v>
      </x:c>
      <x:c r="C50" s="21" t="str">
        <x:v>adidas</x:v>
      </x:c>
      <x:c r="D50" s="21" t="str">
        <x:v>Japan</x:v>
      </x:c>
      <x:c r="E50" s="21" t="str">
        <x:v>White/Red, White/Green, Black/White, Cream</x:v>
      </x:c>
      <x:c r="F50" s="21" t="str">
        <x:v>Hombre 39-44 / surtir 40-43</x:v>
      </x:c>
      <x:c r="G50" s="21" t="str">
        <x:v>Terrace, futbol y retro siguen fuertes; faciles para outfits.</x:v>
      </x:c>
      <x:c r="H50" s="21" t="str">
        <x:v>https://www.adidas.com/us/release-dates</x:v>
      </x:c>
      <x:c r="I50" s="21" t="str">
        <x:v>https://www.adidas.com/us/search?q=adidas%20Japan</x:v>
      </x:c>
    </x:row>
    <x:row r="51" ht="43.5" customHeight="1">
      <x:c r="A51" s="21" t="str">
        <x:v>Media</x:v>
      </x:c>
      <x:c r="B51" s="21" t="str">
        <x:v>Adidas terrace / moda</x:v>
      </x:c>
      <x:c r="C51" s="21" t="str">
        <x:v>adidas</x:v>
      </x:c>
      <x:c r="D51" s="21" t="str">
        <x:v>Taekwondo</x:v>
      </x:c>
      <x:c r="E51" s="21" t="str">
        <x:v>Black/White, White/Black, Silver, Cream</x:v>
      </x:c>
      <x:c r="F51" s="21" t="str">
        <x:v>Hombre 39-44 / surtir 40-43</x:v>
      </x:c>
      <x:c r="G51" s="21" t="str">
        <x:v>Terrace, futbol y retro siguen fuertes; faciles para outfits.</x:v>
      </x:c>
      <x:c r="H51" s="21" t="str">
        <x:v>https://www.adidas.com/us/release-dates</x:v>
      </x:c>
      <x:c r="I51" s="21" t="str">
        <x:v>https://www.adidas.com/us/search?q=adidas%20Taekwondo</x:v>
      </x:c>
    </x:row>
    <x:row r="52" ht="43.5" customHeight="1">
      <x:c r="A52" s="21" t="str">
        <x:v>Media</x:v>
      </x:c>
      <x:c r="B52" s="21" t="str">
        <x:v>Adidas terrace / moda</x:v>
      </x:c>
      <x:c r="C52" s="21" t="str">
        <x:v>adidas</x:v>
      </x:c>
      <x:c r="D52" s="21" t="str">
        <x:v>Superstar</x:v>
      </x:c>
      <x:c r="E52" s="21" t="str">
        <x:v>White/Black, Black/White, Shell Toe Cream, Burgundy</x:v>
      </x:c>
      <x:c r="F52" s="21" t="str">
        <x:v>Hombre 39-44 / surtir 40-43</x:v>
      </x:c>
      <x:c r="G52" s="21" t="str">
        <x:v>Terrace, futbol y retro siguen fuertes; faciles para outfits.</x:v>
      </x:c>
      <x:c r="H52" s="21" t="str">
        <x:v>https://www.adidas.com/us/release-dates</x:v>
      </x:c>
      <x:c r="I52" s="21" t="str">
        <x:v>https://www.adidas.com/us/search?q=adidas%20Superstar</x:v>
      </x:c>
    </x:row>
    <x:row r="53" ht="43.5" customHeight="1">
      <x:c r="A53" s="21" t="str">
        <x:v>Prueba</x:v>
      </x:c>
      <x:c r="B53" s="21" t="str">
        <x:v>Adidas terrace / moda</x:v>
      </x:c>
      <x:c r="C53" s="21" t="str">
        <x:v>adidas</x:v>
      </x:c>
      <x:c r="D53" s="21" t="str">
        <x:v>Stan Smith</x:v>
      </x:c>
      <x:c r="E53" s="21" t="str">
        <x:v>White/Green, White/Navy, Cream/Gum, Black</x:v>
      </x:c>
      <x:c r="F53" s="21" t="str">
        <x:v>Hombre 39-44 / surtir 40-43</x:v>
      </x:c>
      <x:c r="G53" s="21" t="str">
        <x:v>Terrace, futbol y retro siguen fuertes; faciles para outfits.</x:v>
      </x:c>
      <x:c r="H53" s="21" t="str">
        <x:v>https://www.adidas.com/us/release-dates</x:v>
      </x:c>
      <x:c r="I53" s="21" t="str">
        <x:v>https://www.adidas.com/us/search?q=adidas%20Stan%20Smith</x:v>
      </x:c>
    </x:row>
    <x:row r="54" ht="43.5" customHeight="1">
      <x:c r="A54" s="21" t="str">
        <x:v>Media</x:v>
      </x:c>
      <x:c r="B54" s="21" t="str">
        <x:v>Adidas terrace / moda</x:v>
      </x:c>
      <x:c r="C54" s="21" t="str">
        <x:v>adidas</x:v>
      </x:c>
      <x:c r="D54" s="21" t="str">
        <x:v>Adistar XLG 2.0</x:v>
      </x:c>
      <x:c r="E54" s="21" t="str">
        <x:v>Silver/Grey, White/Black, Cream, Blue, Black</x:v>
      </x:c>
      <x:c r="F54" s="21" t="str">
        <x:v>Hombre 39-44 / surtir 40-43</x:v>
      </x:c>
      <x:c r="G54" s="21" t="str">
        <x:v>Terrace, futbol y retro siguen fuertes; faciles para outfits.</x:v>
      </x:c>
      <x:c r="H54" s="21" t="str">
        <x:v>https://www.adidas.com/us/release-dates</x:v>
      </x:c>
      <x:c r="I54" s="21" t="str">
        <x:v>https://www.adidas.com/us/search?q=adidas%20Adistar%20XLG%202.0</x:v>
      </x:c>
    </x:row>
    <x:row r="55" ht="43.5" customHeight="1">
      <x:c r="A55" s="21" t="str">
        <x:v>Alta</x:v>
      </x:c>
      <x:c r="B55" s="21" t="str">
        <x:v>Adidas terrace / moda</x:v>
      </x:c>
      <x:c r="C55" s="21" t="str">
        <x:v>adidas</x:v>
      </x:c>
      <x:c r="D55" s="21" t="str">
        <x:v>Adizero EVO SL</x:v>
      </x:c>
      <x:c r="E55" s="21" t="str">
        <x:v>Cloud White, Core Black, Silver Metallic, Solar Red</x:v>
      </x:c>
      <x:c r="F55" s="21" t="str">
        <x:v>Hombre 39-44 / surtir 40-43</x:v>
      </x:c>
      <x:c r="G55" s="21" t="str">
        <x:v>Terrace, futbol y retro siguen fuertes; faciles para outfits.</x:v>
      </x:c>
      <x:c r="H55" s="21" t="str">
        <x:v>https://www.adidas.com/us/release-dates</x:v>
      </x:c>
      <x:c r="I55" s="21" t="str">
        <x:v>https://www.adidas.com/us/search?q=adidas%20Adizero%20EVO%20SL</x:v>
      </x:c>
    </x:row>
    <x:row r="56" ht="43.5" customHeight="1">
      <x:c r="A56" s="21" t="str">
        <x:v>Media</x:v>
      </x:c>
      <x:c r="B56" s="21" t="str">
        <x:v>Adidas terrace / moda</x:v>
      </x:c>
      <x:c r="C56" s="21" t="str">
        <x:v>adidas</x:v>
      </x:c>
      <x:c r="D56" s="21" t="str">
        <x:v>Boston 12/13</x:v>
      </x:c>
      <x:c r="E56" s="21" t="str">
        <x:v>Core Black, White, Silver, Lucent Blue, Solar Orange</x:v>
      </x:c>
      <x:c r="F56" s="21" t="str">
        <x:v>Hombre 39-44 / surtir 40-43</x:v>
      </x:c>
      <x:c r="G56" s="21" t="str">
        <x:v>Terrace, futbol y retro siguen fuertes; faciles para outfits.</x:v>
      </x:c>
      <x:c r="H56" s="21" t="str">
        <x:v>https://www.adidas.com/us/release-dates</x:v>
      </x:c>
      <x:c r="I56" s="21" t="str">
        <x:v>https://www.adidas.com/us/search?q=adidas%20Boston%2012%2F13</x:v>
      </x:c>
    </x:row>
    <x:row r="57" ht="43.5" customHeight="1">
      <x:c r="A57" s="21" t="str">
        <x:v>Media</x:v>
      </x:c>
      <x:c r="B57" s="21" t="str">
        <x:v>Adidas terrace / moda</x:v>
      </x:c>
      <x:c r="C57" s="21" t="str">
        <x:v>adidas</x:v>
      </x:c>
      <x:c r="D57" s="21" t="str">
        <x:v>Adios Pro 4</x:v>
      </x:c>
      <x:c r="E57" s="21" t="str">
        <x:v>White/Black, Solar Red, Silver, Black/Green</x:v>
      </x:c>
      <x:c r="F57" s="21" t="str">
        <x:v>Hombre 39-44 / surtir 40-43</x:v>
      </x:c>
      <x:c r="G57" s="21" t="str">
        <x:v>Terrace, futbol y retro siguen fuertes; faciles para outfits.</x:v>
      </x:c>
      <x:c r="H57" s="21" t="str">
        <x:v>https://www.adidas.com/us/release-dates</x:v>
      </x:c>
      <x:c r="I57" s="21" t="str">
        <x:v>https://www.adidas.com/us/search?q=adidas%20Adios%20Pro%204</x:v>
      </x:c>
    </x:row>
    <x:row r="58" ht="43.5" customHeight="1">
      <x:c r="A58" s="21" t="str">
        <x:v>Alta</x:v>
      </x:c>
      <x:c r="B58" s="21" t="str">
        <x:v>Adidas terrace / moda</x:v>
      </x:c>
      <x:c r="C58" s="21" t="str">
        <x:v>adidas</x:v>
      </x:c>
      <x:c r="D58" s="21" t="str">
        <x:v>Bad Bunny BadBo 1.0</x:v>
      </x:c>
      <x:c r="E58" s="21" t="str">
        <x:v>Resilience brown, Black, Cream, Blue, Maroon</x:v>
      </x:c>
      <x:c r="F58" s="21" t="str">
        <x:v>Hombre 39-44 / surtir 40-43</x:v>
      </x:c>
      <x:c r="G58" s="21" t="str">
        <x:v>Terrace, futbol y retro siguen fuertes; faciles para outfits.</x:v>
      </x:c>
      <x:c r="H58" s="21" t="str">
        <x:v>https://www.adidas.com/us/release-dates</x:v>
      </x:c>
      <x:c r="I58" s="21" t="str">
        <x:v>https://www.adidas.com/us/search?q=adidas%20Bad%20Bunny%20BadBo%201.0</x:v>
      </x:c>
    </x:row>
    <x:row r="59" ht="43.5" customHeight="1">
      <x:c r="A59" s="21" t="str">
        <x:v>Alta</x:v>
      </x:c>
      <x:c r="B59" s="21" t="str">
        <x:v>Adidas terrace / moda</x:v>
      </x:c>
      <x:c r="C59" s="21" t="str">
        <x:v>adidas</x:v>
      </x:c>
      <x:c r="D59" s="21" t="str">
        <x:v>Anthony Edwards AE 1</x:v>
      </x:c>
      <x:c r="E59" s="21" t="str">
        <x:v>MX Charcoal, New Wave, All-Star, Black/White</x:v>
      </x:c>
      <x:c r="F59" s="21" t="str">
        <x:v>Hombre 39-44 / surtir 40-43</x:v>
      </x:c>
      <x:c r="G59" s="21" t="str">
        <x:v>Terrace, futbol y retro siguen fuertes; faciles para outfits.</x:v>
      </x:c>
      <x:c r="H59" s="21" t="str">
        <x:v>https://www.adidas.com/us/release-dates</x:v>
      </x:c>
      <x:c r="I59" s="21" t="str">
        <x:v>https://www.adidas.com/us/search?q=adidas%20Anthony%20Edwards%20AE%201</x:v>
      </x:c>
    </x:row>
    <x:row r="60" ht="43.5" customHeight="1">
      <x:c r="A60" s="21" t="str">
        <x:v>Alta</x:v>
      </x:c>
      <x:c r="B60" s="21" t="str">
        <x:v>Adidas terrace / moda</x:v>
      </x:c>
      <x:c r="C60" s="21" t="str">
        <x:v>adidas</x:v>
      </x:c>
      <x:c r="D60" s="21" t="str">
        <x:v>Anthony Edwards AE 2</x:v>
      </x:c>
      <x:c r="E60" s="21" t="str">
        <x:v>Multicolor, Black/White, Orange, Blue, Silver</x:v>
      </x:c>
      <x:c r="F60" s="21" t="str">
        <x:v>Hombre 39-44 / surtir 40-43</x:v>
      </x:c>
      <x:c r="G60" s="21" t="str">
        <x:v>Terrace, futbol y retro siguen fuertes; faciles para outfits.</x:v>
      </x:c>
      <x:c r="H60" s="21" t="str">
        <x:v>https://www.adidas.com/us/release-dates</x:v>
      </x:c>
      <x:c r="I60" s="21" t="str">
        <x:v>https://www.adidas.com/us/search?q=adidas%20Anthony%20Edwards%20AE%202</x:v>
      </x:c>
    </x:row>
    <x:row r="61" ht="43.5" customHeight="1">
      <x:c r="A61" s="21" t="str">
        <x:v>Media</x:v>
      </x:c>
      <x:c r="B61" s="21" t="str">
        <x:v>Adidas terrace / moda</x:v>
      </x:c>
      <x:c r="C61" s="21" t="str">
        <x:v>adidas</x:v>
      </x:c>
      <x:c r="D61" s="21" t="str">
        <x:v>Harden Vol. 9/10</x:v>
      </x:c>
      <x:c r="E61" s="21" t="str">
        <x:v>Black/Red, Silver/Black, White/Black, Pink, Blue</x:v>
      </x:c>
      <x:c r="F61" s="21" t="str">
        <x:v>Hombre 39-44 / surtir 40-43</x:v>
      </x:c>
      <x:c r="G61" s="21" t="str">
        <x:v>Terrace, futbol y retro siguen fuertes; faciles para outfits.</x:v>
      </x:c>
      <x:c r="H61" s="21" t="str">
        <x:v>https://www.adidas.com/us/release-dates</x:v>
      </x:c>
      <x:c r="I61" s="21" t="str">
        <x:v>https://www.adidas.com/us/search?q=adidas%20Harden%20Vol.%209%2F10</x:v>
      </x:c>
    </x:row>
    <x:row r="62" ht="43.5" customHeight="1">
      <x:c r="A62" s="21" t="str">
        <x:v>Prueba</x:v>
      </x:c>
      <x:c r="B62" s="21" t="str">
        <x:v>Adidas terrace / moda</x:v>
      </x:c>
      <x:c r="C62" s="21" t="str">
        <x:v>adidas</x:v>
      </x:c>
      <x:c r="D62" s="21" t="str">
        <x:v>Dame 9/10</x:v>
      </x:c>
      <x:c r="E62" s="21" t="str">
        <x:v>Black/Red, Blue/Orange, White/Black, Purple</x:v>
      </x:c>
      <x:c r="F62" s="21" t="str">
        <x:v>Hombre 39-44 / surtir 40-43</x:v>
      </x:c>
      <x:c r="G62" s="21" t="str">
        <x:v>Terrace, futbol y retro siguen fuertes; faciles para outfits.</x:v>
      </x:c>
      <x:c r="H62" s="21" t="str">
        <x:v>https://www.adidas.com/us/release-dates</x:v>
      </x:c>
      <x:c r="I62" s="21" t="str">
        <x:v>https://www.adidas.com/us/search?q=adidas%20Dame%209%2F10</x:v>
      </x:c>
    </x:row>
    <x:row r="63" ht="43.5" customHeight="1">
      <x:c r="A63" s="21" t="str">
        <x:v>Alta</x:v>
      </x:c>
      <x:c r="B63" s="21" t="str">
        <x:v>New Balance / ASICS runner</x:v>
      </x:c>
      <x:c r="C63" s="21" t="str">
        <x:v>New Balance</x:v>
      </x:c>
      <x:c r="D63" s="21" t="str">
        <x:v>New Balance 530</x:v>
      </x:c>
      <x:c r="E63" s="21" t="str">
        <x:v>White/Silver, White/Navy, Grey, Sea Salt, Beige</x:v>
      </x:c>
      <x:c r="F63" s="21" t="str">
        <x:v>Hombre 39-44 / surtir 40-43</x:v>
      </x:c>
      <x:c r="G63" s="21" t="str">
        <x:v>Y2K runner y dad-shoe siguen vendiendo en moda calle.</x:v>
      </x:c>
      <x:c r="H63" s="21" t="str">
        <x:v>https://stockx.com/about/sx-market-insights/big-facts-current-culture-index-2026/</x:v>
      </x:c>
      <x:c r="I63" s="21" t="str">
        <x:v>https://www.newbalance.com/search?q=New%20Balance%20New%20Balance%20530</x:v>
      </x:c>
    </x:row>
    <x:row r="64" ht="43.5" customHeight="1">
      <x:c r="A64" s="21" t="str">
        <x:v>Alta</x:v>
      </x:c>
      <x:c r="B64" s="21" t="str">
        <x:v>New Balance / ASICS runner</x:v>
      </x:c>
      <x:c r="C64" s="21" t="str">
        <x:v>New Balance</x:v>
      </x:c>
      <x:c r="D64" s="21" t="str">
        <x:v>New Balance 9060</x:v>
      </x:c>
      <x:c r="E64" s="21" t="str">
        <x:v>Grey, Sea Salt, Black, Rain Cloud, Moonbeam</x:v>
      </x:c>
      <x:c r="F64" s="21" t="str">
        <x:v>Hombre 39-44 / surtir 40-43</x:v>
      </x:c>
      <x:c r="G64" s="21" t="str">
        <x:v>Y2K runner y dad-shoe siguen vendiendo en moda calle.</x:v>
      </x:c>
      <x:c r="H64" s="21" t="str">
        <x:v>https://stockx.com/about/sx-market-insights/big-facts-current-culture-index-2026/</x:v>
      </x:c>
      <x:c r="I64" s="21" t="str">
        <x:v>https://www.newbalance.com/search?q=New%20Balance%20New%20Balance%209060</x:v>
      </x:c>
    </x:row>
    <x:row r="65" ht="43.5" customHeight="1">
      <x:c r="A65" s="21" t="str">
        <x:v>Alta</x:v>
      </x:c>
      <x:c r="B65" s="21" t="str">
        <x:v>New Balance / ASICS runner</x:v>
      </x:c>
      <x:c r="C65" s="21" t="str">
        <x:v>New Balance</x:v>
      </x:c>
      <x:c r="D65" s="21" t="str">
        <x:v>New Balance 1906R</x:v>
      </x:c>
      <x:c r="E65" s="21" t="str">
        <x:v>Silver Metallic, Protection Pack, Black, Navy, Rose</x:v>
      </x:c>
      <x:c r="F65" s="21" t="str">
        <x:v>Hombre 39-44 / surtir 40-43</x:v>
      </x:c>
      <x:c r="G65" s="21" t="str">
        <x:v>Y2K runner y dad-shoe siguen vendiendo en moda calle.</x:v>
      </x:c>
      <x:c r="H65" s="21" t="str">
        <x:v>https://stockx.com/about/sx-market-insights/big-facts-current-culture-index-2026/</x:v>
      </x:c>
      <x:c r="I65" s="21" t="str">
        <x:v>https://www.newbalance.com/search?q=New%20Balance%20New%20Balance%201906R</x:v>
      </x:c>
    </x:row>
    <x:row r="66" ht="43.5" customHeight="1">
      <x:c r="A66" s="21" t="str">
        <x:v>Media</x:v>
      </x:c>
      <x:c r="B66" s="21" t="str">
        <x:v>New Balance / ASICS runner</x:v>
      </x:c>
      <x:c r="C66" s="21" t="str">
        <x:v>New Balance</x:v>
      </x:c>
      <x:c r="D66" s="21" t="str">
        <x:v>New Balance 2002R</x:v>
      </x:c>
      <x:c r="E66" s="21" t="str">
        <x:v>Rain Cloud, Protection Pack, Grey, Black, Navy</x:v>
      </x:c>
      <x:c r="F66" s="21" t="str">
        <x:v>Hombre 39-44 / surtir 40-43</x:v>
      </x:c>
      <x:c r="G66" s="21" t="str">
        <x:v>Y2K runner y dad-shoe siguen vendiendo en moda calle.</x:v>
      </x:c>
      <x:c r="H66" s="21" t="str">
        <x:v>https://stockx.com/about/sx-market-insights/big-facts-current-culture-index-2026/</x:v>
      </x:c>
      <x:c r="I66" s="21" t="str">
        <x:v>https://www.newbalance.com/search?q=New%20Balance%20New%20Balance%202002R</x:v>
      </x:c>
    </x:row>
    <x:row r="67" ht="43.5" customHeight="1">
      <x:c r="A67" s="21" t="str">
        <x:v>Media</x:v>
      </x:c>
      <x:c r="B67" s="21" t="str">
        <x:v>New Balance / ASICS runner</x:v>
      </x:c>
      <x:c r="C67" s="21" t="str">
        <x:v>New Balance</x:v>
      </x:c>
      <x:c r="D67" s="21" t="str">
        <x:v>New Balance 740</x:v>
      </x:c>
      <x:c r="E67" s="21" t="str">
        <x:v>White/Blue, White/Green, Silver, Black, Yellow</x:v>
      </x:c>
      <x:c r="F67" s="21" t="str">
        <x:v>Hombre 39-44 / surtir 40-43</x:v>
      </x:c>
      <x:c r="G67" s="21" t="str">
        <x:v>Y2K runner y dad-shoe siguen vendiendo en moda calle.</x:v>
      </x:c>
      <x:c r="H67" s="21" t="str">
        <x:v>https://stockx.com/about/sx-market-insights/big-facts-current-culture-index-2026/</x:v>
      </x:c>
      <x:c r="I67" s="21" t="str">
        <x:v>https://www.newbalance.com/search?q=New%20Balance%20New%20Balance%20740</x:v>
      </x:c>
    </x:row>
    <x:row r="68" ht="43.5" customHeight="1">
      <x:c r="A68" s="21" t="str">
        <x:v>Media</x:v>
      </x:c>
      <x:c r="B68" s="21" t="str">
        <x:v>New Balance / ASICS runner</x:v>
      </x:c>
      <x:c r="C68" s="21" t="str">
        <x:v>New Balance</x:v>
      </x:c>
      <x:c r="D68" s="21" t="str">
        <x:v>New Balance 1000</x:v>
      </x:c>
      <x:c r="E68" s="21" t="str">
        <x:v>Silver/Black, Black, Grey, White/Blue, Cream</x:v>
      </x:c>
      <x:c r="F68" s="21" t="str">
        <x:v>Hombre 39-44 / surtir 40-43</x:v>
      </x:c>
      <x:c r="G68" s="21" t="str">
        <x:v>Y2K runner y dad-shoe siguen vendiendo en moda calle.</x:v>
      </x:c>
      <x:c r="H68" s="21" t="str">
        <x:v>https://stockx.com/about/sx-market-insights/big-facts-current-culture-index-2026/</x:v>
      </x:c>
      <x:c r="I68" s="21" t="str">
        <x:v>https://www.newbalance.com/search?q=New%20Balance%20New%20Balance%201000</x:v>
      </x:c>
    </x:row>
    <x:row r="69" ht="43.5" customHeight="1">
      <x:c r="A69" s="21" t="str">
        <x:v>Media</x:v>
      </x:c>
      <x:c r="B69" s="21" t="str">
        <x:v>New Balance / ASICS runner</x:v>
      </x:c>
      <x:c r="C69" s="21" t="str">
        <x:v>New Balance</x:v>
      </x:c>
      <x:c r="D69" s="21" t="str">
        <x:v>New Balance 990v4/v6</x:v>
      </x:c>
      <x:c r="E69" s="21" t="str">
        <x:v>Grey, Navy, Black, Cream, Olive</x:v>
      </x:c>
      <x:c r="F69" s="21" t="str">
        <x:v>Hombre 39-44 / surtir 40-43</x:v>
      </x:c>
      <x:c r="G69" s="21" t="str">
        <x:v>Y2K runner y dad-shoe siguen vendiendo en moda calle.</x:v>
      </x:c>
      <x:c r="H69" s="21" t="str">
        <x:v>https://stockx.com/about/sx-market-insights/big-facts-current-culture-index-2026/</x:v>
      </x:c>
      <x:c r="I69" s="21" t="str">
        <x:v>https://www.newbalance.com/search?q=New%20Balance%20New%20Balance%20990v4%2Fv6</x:v>
      </x:c>
    </x:row>
    <x:row r="70" ht="43.5" customHeight="1">
      <x:c r="A70" s="21" t="str">
        <x:v>Prueba</x:v>
      </x:c>
      <x:c r="B70" s="21" t="str">
        <x:v>New Balance / ASICS runner</x:v>
      </x:c>
      <x:c r="C70" s="21" t="str">
        <x:v>New Balance</x:v>
      </x:c>
      <x:c r="D70" s="21" t="str">
        <x:v>New Balance 991v2</x:v>
      </x:c>
      <x:c r="E70" s="21" t="str">
        <x:v>Grey, Blue, Black, Brown, Silver</x:v>
      </x:c>
      <x:c r="F70" s="21" t="str">
        <x:v>Hombre 39-44 / surtir 40-43</x:v>
      </x:c>
      <x:c r="G70" s="21" t="str">
        <x:v>Y2K runner y dad-shoe siguen vendiendo en moda calle.</x:v>
      </x:c>
      <x:c r="H70" s="21" t="str">
        <x:v>https://stockx.com/about/sx-market-insights/big-facts-current-culture-index-2026/</x:v>
      </x:c>
      <x:c r="I70" s="21" t="str">
        <x:v>https://www.newbalance.com/search?q=New%20Balance%20New%20Balance%20991v2</x:v>
      </x:c>
    </x:row>
    <x:row r="71" ht="43.5" customHeight="1">
      <x:c r="A71" s="21" t="str">
        <x:v>Media</x:v>
      </x:c>
      <x:c r="B71" s="21" t="str">
        <x:v>New Balance / ASICS runner</x:v>
      </x:c>
      <x:c r="C71" s="21" t="str">
        <x:v>New Balance</x:v>
      </x:c>
      <x:c r="D71" s="21" t="str">
        <x:v>New Balance 992</x:v>
      </x:c>
      <x:c r="E71" s="21" t="str">
        <x:v>Grey, Navy, Black, Cream, Green</x:v>
      </x:c>
      <x:c r="F71" s="21" t="str">
        <x:v>Hombre 39-44 / surtir 40-43</x:v>
      </x:c>
      <x:c r="G71" s="21" t="str">
        <x:v>Y2K runner y dad-shoe siguen vendiendo en moda calle.</x:v>
      </x:c>
      <x:c r="H71" s="21" t="str">
        <x:v>https://stockx.com/about/sx-market-insights/big-facts-current-culture-index-2026/</x:v>
      </x:c>
      <x:c r="I71" s="21" t="str">
        <x:v>https://www.newbalance.com/search?q=New%20Balance%20New%20Balance%20992</x:v>
      </x:c>
    </x:row>
    <x:row r="72" ht="43.5" customHeight="1">
      <x:c r="A72" s="21" t="str">
        <x:v>Media</x:v>
      </x:c>
      <x:c r="B72" s="21" t="str">
        <x:v>New Balance / ASICS runner</x:v>
      </x:c>
      <x:c r="C72" s="21" t="str">
        <x:v>New Balance</x:v>
      </x:c>
      <x:c r="D72" s="21" t="str">
        <x:v>New Balance 550</x:v>
      </x:c>
      <x:c r="E72" s="21" t="str">
        <x:v>White/Green, White/Red, Navy, Cream, Black</x:v>
      </x:c>
      <x:c r="F72" s="21" t="str">
        <x:v>Hombre 39-44 / surtir 40-43</x:v>
      </x:c>
      <x:c r="G72" s="21" t="str">
        <x:v>Y2K runner y dad-shoe siguen vendiendo en moda calle.</x:v>
      </x:c>
      <x:c r="H72" s="21" t="str">
        <x:v>https://stockx.com/about/sx-market-insights/big-facts-current-culture-index-2026/</x:v>
      </x:c>
      <x:c r="I72" s="21" t="str">
        <x:v>https://www.newbalance.com/search?q=New%20Balance%20New%20Balance%20550</x:v>
      </x:c>
    </x:row>
    <x:row r="73" ht="43.5" customHeight="1">
      <x:c r="A73" s="21" t="str">
        <x:v>Media</x:v>
      </x:c>
      <x:c r="B73" s="21" t="str">
        <x:v>New Balance / ASICS runner</x:v>
      </x:c>
      <x:c r="C73" s="21" t="str">
        <x:v>New Balance</x:v>
      </x:c>
      <x:c r="D73" s="21" t="str">
        <x:v>New Balance 327</x:v>
      </x:c>
      <x:c r="E73" s="21" t="str">
        <x:v>White/Black, Navy, Green, Animal Print, Pink</x:v>
      </x:c>
      <x:c r="F73" s="21" t="str">
        <x:v>Hombre 39-44 / surtir 40-43</x:v>
      </x:c>
      <x:c r="G73" s="21" t="str">
        <x:v>Y2K runner y dad-shoe siguen vendiendo en moda calle.</x:v>
      </x:c>
      <x:c r="H73" s="21" t="str">
        <x:v>https://stockx.com/about/sx-market-insights/big-facts-current-culture-index-2026/</x:v>
      </x:c>
      <x:c r="I73" s="21" t="str">
        <x:v>https://www.newbalance.com/search?q=New%20Balance%20New%20Balance%20327</x:v>
      </x:c>
    </x:row>
    <x:row r="74" ht="43.5" customHeight="1">
      <x:c r="A74" s="21" t="str">
        <x:v>Prueba</x:v>
      </x:c>
      <x:c r="B74" s="21" t="str">
        <x:v>New Balance / ASICS runner</x:v>
      </x:c>
      <x:c r="C74" s="21" t="str">
        <x:v>New Balance</x:v>
      </x:c>
      <x:c r="D74" s="21" t="str">
        <x:v>New Balance 574</x:v>
      </x:c>
      <x:c r="E74" s="21" t="str">
        <x:v>Grey, Navy, Black, Burgundy, Green</x:v>
      </x:c>
      <x:c r="F74" s="21" t="str">
        <x:v>Hombre 39-44 / surtir 40-43</x:v>
      </x:c>
      <x:c r="G74" s="21" t="str">
        <x:v>Y2K runner y dad-shoe siguen vendiendo en moda calle.</x:v>
      </x:c>
      <x:c r="H74" s="21" t="str">
        <x:v>https://stockx.com/about/sx-market-insights/big-facts-current-culture-index-2026/</x:v>
      </x:c>
      <x:c r="I74" s="21" t="str">
        <x:v>https://www.newbalance.com/search?q=New%20Balance%20New%20Balance%20574</x:v>
      </x:c>
    </x:row>
    <x:row r="75" ht="43.5" customHeight="1">
      <x:c r="A75" s="21" t="str">
        <x:v>Alta</x:v>
      </x:c>
      <x:c r="B75" s="21" t="str">
        <x:v>New Balance / ASICS runner</x:v>
      </x:c>
      <x:c r="C75" s="21" t="str">
        <x:v>New Balance</x:v>
      </x:c>
      <x:c r="D75" s="21" t="str">
        <x:v>New Balance 204L</x:v>
      </x:c>
      <x:c r="E75" s="21" t="str">
        <x:v>White/Oxford Blue, White/Grey, Pink, Black, Driftwood</x:v>
      </x:c>
      <x:c r="F75" s="21" t="str">
        <x:v>Hombre 39-44 / surtir 40-43</x:v>
      </x:c>
      <x:c r="G75" s="21" t="str">
        <x:v>Y2K runner y dad-shoe siguen vendiendo en moda calle.</x:v>
      </x:c>
      <x:c r="H75" s="21" t="str">
        <x:v>https://stockx.com/about/sx-market-insights/big-facts-current-culture-index-2026/</x:v>
      </x:c>
      <x:c r="I75" s="21" t="str">
        <x:v>https://www.newbalance.com/search?q=New%20Balance%20New%20Balance%20204L</x:v>
      </x:c>
    </x:row>
    <x:row r="76" ht="43.5" customHeight="1">
      <x:c r="A76" s="21" t="str">
        <x:v>Prueba</x:v>
      </x:c>
      <x:c r="B76" s="21" t="str">
        <x:v>New Balance / ASICS runner</x:v>
      </x:c>
      <x:c r="C76" s="21" t="str">
        <x:v>New Balance</x:v>
      </x:c>
      <x:c r="D76" s="21" t="str">
        <x:v>New Balance 2010</x:v>
      </x:c>
      <x:c r="E76" s="21" t="str">
        <x:v>Raincloud, Black, Navy, Shell Pink, Turtledove</x:v>
      </x:c>
      <x:c r="F76" s="21" t="str">
        <x:v>Hombre 39-44 / surtir 40-43</x:v>
      </x:c>
      <x:c r="G76" s="21" t="str">
        <x:v>Y2K runner y dad-shoe siguen vendiendo en moda calle.</x:v>
      </x:c>
      <x:c r="H76" s="21" t="str">
        <x:v>https://stockx.com/about/sx-market-insights/big-facts-current-culture-index-2026/</x:v>
      </x:c>
      <x:c r="I76" s="21" t="str">
        <x:v>https://www.newbalance.com/search?q=New%20Balance%20New%20Balance%202010</x:v>
      </x:c>
    </x:row>
    <x:row r="77" ht="43.5" customHeight="1">
      <x:c r="A77" s="21" t="str">
        <x:v>Media</x:v>
      </x:c>
      <x:c r="B77" s="21" t="str">
        <x:v>New Balance / ASICS runner</x:v>
      </x:c>
      <x:c r="C77" s="21" t="str">
        <x:v>New Balance</x:v>
      </x:c>
      <x:c r="D77" s="21" t="str">
        <x:v>New Balance Coco CG2</x:v>
      </x:c>
      <x:c r="E77" s="21" t="str">
        <x:v>White/Green, Black, Pink, Blue, Cream</x:v>
      </x:c>
      <x:c r="F77" s="21" t="str">
        <x:v>Hombre 39-44 / surtir 40-43</x:v>
      </x:c>
      <x:c r="G77" s="21" t="str">
        <x:v>Y2K runner y dad-shoe siguen vendiendo en moda calle.</x:v>
      </x:c>
      <x:c r="H77" s="21" t="str">
        <x:v>https://stockx.com/about/sx-market-insights/big-facts-current-culture-index-2026/</x:v>
      </x:c>
      <x:c r="I77" s="21" t="str">
        <x:v>https://www.newbalance.com/search?q=New%20Balance%20New%20Balance%20Coco%20CG2</x:v>
      </x:c>
    </x:row>
    <x:row r="78" ht="43.5" customHeight="1">
      <x:c r="A78" s="21" t="str">
        <x:v>Alta</x:v>
      </x:c>
      <x:c r="B78" s="21" t="str">
        <x:v>New Balance / ASICS runner</x:v>
      </x:c>
      <x:c r="C78" s="21" t="str">
        <x:v>ASICS</x:v>
      </x:c>
      <x:c r="D78" s="21" t="str">
        <x:v>GEL-Kayano 14</x:v>
      </x:c>
      <x:c r="E78" s="21" t="str">
        <x:v>Cream/Black, Silver, White/Midnight, Birch, Green</x:v>
      </x:c>
      <x:c r="F78" s="21" t="str">
        <x:v>Hombre 39-44 / surtir 40-43</x:v>
      </x:c>
      <x:c r="G78" s="21" t="str">
        <x:v>ASICS esta fuerte por tech runner y comodidad.</x:v>
      </x:c>
      <x:c r="H78" s="21" t="str">
        <x:v>https://stockx.com/about/sx-market-insights/big-facts-current-culture-index-2026/</x:v>
      </x:c>
      <x:c r="I78" s="21" t="str">
        <x:v>https://www.asics.com/us/en-us/search/?q=ASICS%20GEL-Kayano%2014</x:v>
      </x:c>
    </x:row>
    <x:row r="79" ht="43.5" customHeight="1">
      <x:c r="A79" s="21" t="str">
        <x:v>Alta</x:v>
      </x:c>
      <x:c r="B79" s="21" t="str">
        <x:v>New Balance / ASICS runner</x:v>
      </x:c>
      <x:c r="C79" s="21" t="str">
        <x:v>ASICS</x:v>
      </x:c>
      <x:c r="D79" s="21" t="str">
        <x:v>GEL-1130</x:v>
      </x:c>
      <x:c r="E79" s="21" t="str">
        <x:v>White/Silver, Black, Clay Grey, Cream, Blue</x:v>
      </x:c>
      <x:c r="F79" s="21" t="str">
        <x:v>Hombre 39-44 / surtir 40-43</x:v>
      </x:c>
      <x:c r="G79" s="21" t="str">
        <x:v>ASICS esta fuerte por tech runner y comodidad.</x:v>
      </x:c>
      <x:c r="H79" s="21" t="str">
        <x:v>https://stockx.com/about/sx-market-insights/big-facts-current-culture-index-2026/</x:v>
      </x:c>
      <x:c r="I79" s="21" t="str">
        <x:v>https://www.asics.com/us/en-us/search/?q=ASICS%20GEL-1130</x:v>
      </x:c>
    </x:row>
    <x:row r="80" ht="43.5" customHeight="1">
      <x:c r="A80" s="21" t="str">
        <x:v>Alta</x:v>
      </x:c>
      <x:c r="B80" s="21" t="str">
        <x:v>New Balance / ASICS runner</x:v>
      </x:c>
      <x:c r="C80" s="21" t="str">
        <x:v>ASICS</x:v>
      </x:c>
      <x:c r="D80" s="21" t="str">
        <x:v>GEL-NYC</x:v>
      </x:c>
      <x:c r="E80" s="21" t="str">
        <x:v>Cream/Oyster, Black/Graphite, Grey, Blue, Green</x:v>
      </x:c>
      <x:c r="F80" s="21" t="str">
        <x:v>Hombre 39-44 / surtir 40-43</x:v>
      </x:c>
      <x:c r="G80" s="21" t="str">
        <x:v>ASICS esta fuerte por tech runner y comodidad.</x:v>
      </x:c>
      <x:c r="H80" s="21" t="str">
        <x:v>https://stockx.com/about/sx-market-insights/big-facts-current-culture-index-2026/</x:v>
      </x:c>
      <x:c r="I80" s="21" t="str">
        <x:v>https://www.asics.com/us/en-us/search/?q=ASICS%20GEL-NYC</x:v>
      </x:c>
    </x:row>
    <x:row r="81" ht="43.5" customHeight="1">
      <x:c r="A81" s="21" t="str">
        <x:v>Media</x:v>
      </x:c>
      <x:c r="B81" s="21" t="str">
        <x:v>New Balance / ASICS runner</x:v>
      </x:c>
      <x:c r="C81" s="21" t="str">
        <x:v>ASICS</x:v>
      </x:c>
      <x:c r="D81" s="21" t="str">
        <x:v>GT-2160</x:v>
      </x:c>
      <x:c r="E81" s="21" t="str">
        <x:v>White/Silver, Cream, Black, Blue, Red</x:v>
      </x:c>
      <x:c r="F81" s="21" t="str">
        <x:v>Hombre 39-44 / surtir 40-43</x:v>
      </x:c>
      <x:c r="G81" s="21" t="str">
        <x:v>ASICS esta fuerte por tech runner y comodidad.</x:v>
      </x:c>
      <x:c r="H81" s="21" t="str">
        <x:v>https://stockx.com/about/sx-market-insights/big-facts-current-culture-index-2026/</x:v>
      </x:c>
      <x:c r="I81" s="21" t="str">
        <x:v>https://www.asics.com/us/en-us/search/?q=ASICS%20GT-2160</x:v>
      </x:c>
    </x:row>
    <x:row r="82" ht="43.5" customHeight="1">
      <x:c r="A82" s="21" t="str">
        <x:v>Media</x:v>
      </x:c>
      <x:c r="B82" s="21" t="str">
        <x:v>New Balance / ASICS runner</x:v>
      </x:c>
      <x:c r="C82" s="21" t="str">
        <x:v>ASICS</x:v>
      </x:c>
      <x:c r="D82" s="21" t="str">
        <x:v>GEL-Quantum 360</x:v>
      </x:c>
      <x:c r="E82" s="21" t="str">
        <x:v>Black, Silver, White/Blue, Graphite, Neon</x:v>
      </x:c>
      <x:c r="F82" s="21" t="str">
        <x:v>Hombre 39-44 / surtir 40-43</x:v>
      </x:c>
      <x:c r="G82" s="21" t="str">
        <x:v>ASICS esta fuerte por tech runner y comodidad.</x:v>
      </x:c>
      <x:c r="H82" s="21" t="str">
        <x:v>https://stockx.com/about/sx-market-insights/big-facts-current-culture-index-2026/</x:v>
      </x:c>
      <x:c r="I82" s="21" t="str">
        <x:v>https://www.asics.com/us/en-us/search/?q=ASICS%20GEL-Quantum%20360</x:v>
      </x:c>
    </x:row>
    <x:row r="83" ht="43.5" customHeight="1">
      <x:c r="A83" s="21" t="str">
        <x:v>Media</x:v>
      </x:c>
      <x:c r="B83" s="21" t="str">
        <x:v>New Balance / ASICS runner</x:v>
      </x:c>
      <x:c r="C83" s="21" t="str">
        <x:v>ASICS</x:v>
      </x:c>
      <x:c r="D83" s="21" t="str">
        <x:v>GEL-Nimbus 10.1</x:v>
      </x:c>
      <x:c r="E83" s="21" t="str">
        <x:v>Silver, Cream, Black, Blue, Brown</x:v>
      </x:c>
      <x:c r="F83" s="21" t="str">
        <x:v>Hombre 39-44 / surtir 40-43</x:v>
      </x:c>
      <x:c r="G83" s="21" t="str">
        <x:v>ASICS esta fuerte por tech runner y comodidad.</x:v>
      </x:c>
      <x:c r="H83" s="21" t="str">
        <x:v>https://stockx.com/about/sx-market-insights/big-facts-current-culture-index-2026/</x:v>
      </x:c>
      <x:c r="I83" s="21" t="str">
        <x:v>https://www.asics.com/us/en-us/search/?q=ASICS%20GEL-Nimbus%2010.1</x:v>
      </x:c>
    </x:row>
    <x:row r="84" ht="43.5" customHeight="1">
      <x:c r="A84" s="21" t="str">
        <x:v>Prueba</x:v>
      </x:c>
      <x:c r="B84" s="21" t="str">
        <x:v>New Balance / ASICS runner</x:v>
      </x:c>
      <x:c r="C84" s="21" t="str">
        <x:v>ASICS</x:v>
      </x:c>
      <x:c r="D84" s="21" t="str">
        <x:v>GEL-Cumulus 16</x:v>
      </x:c>
      <x:c r="E84" s="21" t="str">
        <x:v>White/Silver, Black, Cream, Blue, Green</x:v>
      </x:c>
      <x:c r="F84" s="21" t="str">
        <x:v>Hombre 39-44 / surtir 40-43</x:v>
      </x:c>
      <x:c r="G84" s="21" t="str">
        <x:v>ASICS esta fuerte por tech runner y comodidad.</x:v>
      </x:c>
      <x:c r="H84" s="21" t="str">
        <x:v>https://stockx.com/about/sx-market-insights/big-facts-current-culture-index-2026/</x:v>
      </x:c>
      <x:c r="I84" s="21" t="str">
        <x:v>https://www.asics.com/us/en-us/search/?q=ASICS%20GEL-Cumulus%2016</x:v>
      </x:c>
    </x:row>
    <x:row r="85" ht="43.5" customHeight="1">
      <x:c r="A85" s="21" t="str">
        <x:v>Media</x:v>
      </x:c>
      <x:c r="B85" s="21" t="str">
        <x:v>New Balance / ASICS runner</x:v>
      </x:c>
      <x:c r="C85" s="21" t="str">
        <x:v>ASICS</x:v>
      </x:c>
      <x:c r="D85" s="21" t="str">
        <x:v>GEL-1120</x:v>
      </x:c>
      <x:c r="E85" s="21" t="str">
        <x:v>White/Silver, Black, Cream, Blue, Red</x:v>
      </x:c>
      <x:c r="F85" s="21" t="str">
        <x:v>Hombre 39-44 / surtir 40-43</x:v>
      </x:c>
      <x:c r="G85" s="21" t="str">
        <x:v>ASICS esta fuerte por tech runner y comodidad.</x:v>
      </x:c>
      <x:c r="H85" s="21" t="str">
        <x:v>https://stockx.com/about/sx-market-insights/big-facts-current-culture-index-2026/</x:v>
      </x:c>
      <x:c r="I85" s="21" t="str">
        <x:v>https://www.asics.com/us/en-us/search/?q=ASICS%20GEL-1120</x:v>
      </x:c>
    </x:row>
    <x:row r="86" ht="43.5" customHeight="1">
      <x:c r="A86" s="21" t="str">
        <x:v>Alta</x:v>
      </x:c>
      <x:c r="B86" s="21" t="str">
        <x:v>Outdoor / gorpcore</x:v>
      </x:c>
      <x:c r="C86" s="21" t="str">
        <x:v>On</x:v>
      </x:c>
      <x:c r="D86" s="21" t="str">
        <x:v>Cloudmonster 2</x:v>
      </x:c>
      <x:c r="E86" s="21" t="str">
        <x:v>All White, Black, Glacier, Cream, Navy</x:v>
      </x:c>
      <x:c r="F86" s="21" t="str">
        <x:v>Hombre 39-44 / surtir 40-43</x:v>
      </x:c>
      <x:c r="G86" s="21" t="str">
        <x:v>Runner tecnico y outdoor siguen como moda diaria.</x:v>
      </x:c>
      <x:c r="H86" s="21" t="str">
        <x:v>https://www.vogue.com/article/6-sneaker-trends-to-look-out-for-in-2025</x:v>
      </x:c>
      <x:c r="I86" s="21" t="str">
        <x:v>https://www.on.com/en-us/search?q=On%20Cloudmonster%202</x:v>
      </x:c>
    </x:row>
    <x:row r="87" ht="43.5" customHeight="1">
      <x:c r="A87" s="21" t="str">
        <x:v>Alta</x:v>
      </x:c>
      <x:c r="B87" s="21" t="str">
        <x:v>Outdoor / gorpcore</x:v>
      </x:c>
      <x:c r="C87" s="21" t="str">
        <x:v>On</x:v>
      </x:c>
      <x:c r="D87" s="21" t="str">
        <x:v>Cloudsurfer</x:v>
      </x:c>
      <x:c r="E87" s="21" t="str">
        <x:v>White/Black, Pearl/Ivory, Glacier Grey, Blue, Black</x:v>
      </x:c>
      <x:c r="F87" s="21" t="str">
        <x:v>Hombre 39-44 / surtir 40-43</x:v>
      </x:c>
      <x:c r="G87" s="21" t="str">
        <x:v>Runner tecnico y outdoor siguen como moda diaria.</x:v>
      </x:c>
      <x:c r="H87" s="21" t="str">
        <x:v>https://www.vogue.com/article/6-sneaker-trends-to-look-out-for-in-2025</x:v>
      </x:c>
      <x:c r="I87" s="21" t="str">
        <x:v>https://www.on.com/en-us/search?q=On%20Cloudsurfer</x:v>
      </x:c>
    </x:row>
    <x:row r="88" ht="43.5" customHeight="1">
      <x:c r="A88" s="21" t="str">
        <x:v>Alta</x:v>
      </x:c>
      <x:c r="B88" s="21" t="str">
        <x:v>Outdoor / gorpcore</x:v>
      </x:c>
      <x:c r="C88" s="21" t="str">
        <x:v>On</x:v>
      </x:c>
      <x:c r="D88" s="21" t="str">
        <x:v>Cloud 6</x:v>
      </x:c>
      <x:c r="E88" s="21" t="str">
        <x:v>Black/White, All White, Navy, Fog, Pearl</x:v>
      </x:c>
      <x:c r="F88" s="21" t="str">
        <x:v>Hombre 39-44 / surtir 40-43</x:v>
      </x:c>
      <x:c r="G88" s="21" t="str">
        <x:v>Runner tecnico y outdoor siguen como moda diaria.</x:v>
      </x:c>
      <x:c r="H88" s="21" t="str">
        <x:v>https://www.vogue.com/article/6-sneaker-trends-to-look-out-for-in-2025</x:v>
      </x:c>
      <x:c r="I88" s="21" t="str">
        <x:v>https://www.on.com/en-us/search?q=On%20Cloud%206</x:v>
      </x:c>
    </x:row>
    <x:row r="89" ht="43.5" customHeight="1">
      <x:c r="A89" s="21" t="str">
        <x:v>Media</x:v>
      </x:c>
      <x:c r="B89" s="21" t="str">
        <x:v>Outdoor / gorpcore</x:v>
      </x:c>
      <x:c r="C89" s="21" t="str">
        <x:v>On</x:v>
      </x:c>
      <x:c r="D89" s="21" t="str">
        <x:v>Cloudrunner 2</x:v>
      </x:c>
      <x:c r="E89" s="21" t="str">
        <x:v>Black, White, Glacier, Eclipse, Cream</x:v>
      </x:c>
      <x:c r="F89" s="21" t="str">
        <x:v>Hombre 39-44 / surtir 40-43</x:v>
      </x:c>
      <x:c r="G89" s="21" t="str">
        <x:v>Runner tecnico y outdoor siguen como moda diaria.</x:v>
      </x:c>
      <x:c r="H89" s="21" t="str">
        <x:v>https://www.vogue.com/article/6-sneaker-trends-to-look-out-for-in-2025</x:v>
      </x:c>
      <x:c r="I89" s="21" t="str">
        <x:v>https://www.on.com/en-us/search?q=On%20Cloudrunner%202</x:v>
      </x:c>
    </x:row>
    <x:row r="90" ht="43.5" customHeight="1">
      <x:c r="A90" s="21" t="str">
        <x:v>Alta</x:v>
      </x:c>
      <x:c r="B90" s="21" t="str">
        <x:v>Outdoor / gorpcore</x:v>
      </x:c>
      <x:c r="C90" s="21" t="str">
        <x:v>On</x:v>
      </x:c>
      <x:c r="D90" s="21" t="str">
        <x:v>Cloudtilt</x:v>
      </x:c>
      <x:c r="E90" s="21" t="str">
        <x:v>Loewe white, All Black, Grey, Sand, Green</x:v>
      </x:c>
      <x:c r="F90" s="21" t="str">
        <x:v>Hombre 39-44 / surtir 40-43</x:v>
      </x:c>
      <x:c r="G90" s="21" t="str">
        <x:v>Runner tecnico y outdoor siguen como moda diaria.</x:v>
      </x:c>
      <x:c r="H90" s="21" t="str">
        <x:v>https://www.vogue.com/article/6-sneaker-trends-to-look-out-for-in-2025</x:v>
      </x:c>
      <x:c r="I90" s="21" t="str">
        <x:v>https://www.on.com/en-us/search?q=On%20Cloudtilt</x:v>
      </x:c>
    </x:row>
    <x:row r="91" ht="43.5" customHeight="1">
      <x:c r="A91" s="21" t="str">
        <x:v>Media</x:v>
      </x:c>
      <x:c r="B91" s="21" t="str">
        <x:v>Outdoor / gorpcore</x:v>
      </x:c>
      <x:c r="C91" s="21" t="str">
        <x:v>On</x:v>
      </x:c>
      <x:c r="D91" s="21" t="str">
        <x:v>Cloudnova</x:v>
      </x:c>
      <x:c r="E91" s="21" t="str">
        <x:v>White/Black, Cream, Black, Denim, Silver</x:v>
      </x:c>
      <x:c r="F91" s="21" t="str">
        <x:v>Hombre 39-44 / surtir 40-43</x:v>
      </x:c>
      <x:c r="G91" s="21" t="str">
        <x:v>Runner tecnico y outdoor siguen como moda diaria.</x:v>
      </x:c>
      <x:c r="H91" s="21" t="str">
        <x:v>https://www.vogue.com/article/6-sneaker-trends-to-look-out-for-in-2025</x:v>
      </x:c>
      <x:c r="I91" s="21" t="str">
        <x:v>https://www.on.com/en-us/search?q=On%20Cloudnova</x:v>
      </x:c>
    </x:row>
    <x:row r="92" ht="43.5" customHeight="1">
      <x:c r="A92" s="21" t="str">
        <x:v>Media</x:v>
      </x:c>
      <x:c r="B92" s="21" t="str">
        <x:v>Outdoor / gorpcore</x:v>
      </x:c>
      <x:c r="C92" s="21" t="str">
        <x:v>On</x:v>
      </x:c>
      <x:c r="D92" s="21" t="str">
        <x:v>Cloud X 4</x:v>
      </x:c>
      <x:c r="E92" s="21" t="str">
        <x:v>Black/White, White, Silver, Blue, Lime</x:v>
      </x:c>
      <x:c r="F92" s="21" t="str">
        <x:v>Hombre 39-44 / surtir 40-43</x:v>
      </x:c>
      <x:c r="G92" s="21" t="str">
        <x:v>Runner tecnico y outdoor siguen como moda diaria.</x:v>
      </x:c>
      <x:c r="H92" s="21" t="str">
        <x:v>https://www.vogue.com/article/6-sneaker-trends-to-look-out-for-in-2025</x:v>
      </x:c>
      <x:c r="I92" s="21" t="str">
        <x:v>https://www.on.com/en-us/search?q=On%20Cloud%20X%204</x:v>
      </x:c>
    </x:row>
    <x:row r="93" ht="43.5" customHeight="1">
      <x:c r="A93" s="21" t="str">
        <x:v>Prueba</x:v>
      </x:c>
      <x:c r="B93" s="21" t="str">
        <x:v>Outdoor / gorpcore</x:v>
      </x:c>
      <x:c r="C93" s="21" t="str">
        <x:v>On</x:v>
      </x:c>
      <x:c r="D93" s="21" t="str">
        <x:v>Cloudswift</x:v>
      </x:c>
      <x:c r="E93" s="21" t="str">
        <x:v>All Black, White/Flame, Navy, Grey, Green</x:v>
      </x:c>
      <x:c r="F93" s="21" t="str">
        <x:v>Hombre 39-44 / surtir 40-43</x:v>
      </x:c>
      <x:c r="G93" s="21" t="str">
        <x:v>Runner tecnico y outdoor siguen como moda diaria.</x:v>
      </x:c>
      <x:c r="H93" s="21" t="str">
        <x:v>https://www.vogue.com/article/6-sneaker-trends-to-look-out-for-in-2025</x:v>
      </x:c>
      <x:c r="I93" s="21" t="str">
        <x:v>https://www.on.com/en-us/search?q=On%20Cloudswift</x:v>
      </x:c>
    </x:row>
    <x:row r="94" ht="43.5" customHeight="1">
      <x:c r="A94" s="21" t="str">
        <x:v>Media</x:v>
      </x:c>
      <x:c r="B94" s="21" t="str">
        <x:v>Outdoor / gorpcore</x:v>
      </x:c>
      <x:c r="C94" s="21" t="str">
        <x:v>HOKA</x:v>
      </x:c>
      <x:c r="D94" s="21" t="str">
        <x:v>Clifton 10</x:v>
      </x:c>
      <x:c r="E94" s="21" t="str">
        <x:v>Black/White, White, Grey, Blue, Orange</x:v>
      </x:c>
      <x:c r="F94" s="21" t="str">
        <x:v>Hombre 39-44 / surtir 40-43</x:v>
      </x:c>
      <x:c r="G94" s="21" t="str">
        <x:v>Comodidad maximalista; buen nicho adulto y runner.</x:v>
      </x:c>
      <x:c r="H94" s="21" t="str">
        <x:v>https://www.vogue.com/article/6-sneaker-trends-to-look-out-for-in-2025</x:v>
      </x:c>
      <x:c r="I94" s="21" t="str">
        <x:v>https://www.hoka.com/en/us/search?q=HOKA%20Clifton%2010</x:v>
      </x:c>
    </x:row>
    <x:row r="95" ht="43.5" customHeight="1">
      <x:c r="A95" s="21" t="str">
        <x:v>Media</x:v>
      </x:c>
      <x:c r="B95" s="21" t="str">
        <x:v>Outdoor / gorpcore</x:v>
      </x:c>
      <x:c r="C95" s="21" t="str">
        <x:v>HOKA</x:v>
      </x:c>
      <x:c r="D95" s="21" t="str">
        <x:v>Bondi 9</x:v>
      </x:c>
      <x:c r="E95" s="21" t="str">
        <x:v>All Black, White, Grey, Blue, Cream</x:v>
      </x:c>
      <x:c r="F95" s="21" t="str">
        <x:v>Hombre 39-44 / surtir 40-43</x:v>
      </x:c>
      <x:c r="G95" s="21" t="str">
        <x:v>Comodidad maximalista; buen nicho adulto y runner.</x:v>
      </x:c>
      <x:c r="H95" s="21" t="str">
        <x:v>https://www.vogue.com/article/6-sneaker-trends-to-look-out-for-in-2025</x:v>
      </x:c>
      <x:c r="I95" s="21" t="str">
        <x:v>https://www.hoka.com/en/us/search?q=HOKA%20Bondi%209</x:v>
      </x:c>
    </x:row>
    <x:row r="96" ht="43.5" customHeight="1">
      <x:c r="A96" s="21" t="str">
        <x:v>Alta</x:v>
      </x:c>
      <x:c r="B96" s="21" t="str">
        <x:v>Outdoor / gorpcore</x:v>
      </x:c>
      <x:c r="C96" s="21" t="str">
        <x:v>HOKA</x:v>
      </x:c>
      <x:c r="D96" s="21" t="str">
        <x:v>Mafate Speed 4</x:v>
      </x:c>
      <x:c r="E96" s="21" t="str">
        <x:v>Lunar Rock, Black, Cream, Orange, Blue</x:v>
      </x:c>
      <x:c r="F96" s="21" t="str">
        <x:v>Hombre 39-44 / surtir 40-43</x:v>
      </x:c>
      <x:c r="G96" s="21" t="str">
        <x:v>Comodidad maximalista; buen nicho adulto y runner.</x:v>
      </x:c>
      <x:c r="H96" s="21" t="str">
        <x:v>https://www.vogue.com/article/6-sneaker-trends-to-look-out-for-in-2025</x:v>
      </x:c>
      <x:c r="I96" s="21" t="str">
        <x:v>https://www.hoka.com/en/us/search?q=HOKA%20Mafate%20Speed%204</x:v>
      </x:c>
    </x:row>
    <x:row r="97" ht="43.5" customHeight="1">
      <x:c r="A97" s="21" t="str">
        <x:v>Media</x:v>
      </x:c>
      <x:c r="B97" s="21" t="str">
        <x:v>Outdoor / gorpcore</x:v>
      </x:c>
      <x:c r="C97" s="21" t="str">
        <x:v>HOKA</x:v>
      </x:c>
      <x:c r="D97" s="21" t="str">
        <x:v>Speedgoat 6</x:v>
      </x:c>
      <x:c r="E97" s="21" t="str">
        <x:v>Black/Orange, Blue, Green, Grey, Red</x:v>
      </x:c>
      <x:c r="F97" s="21" t="str">
        <x:v>Hombre 39-44 / surtir 40-43</x:v>
      </x:c>
      <x:c r="G97" s="21" t="str">
        <x:v>Comodidad maximalista; buen nicho adulto y runner.</x:v>
      </x:c>
      <x:c r="H97" s="21" t="str">
        <x:v>https://www.vogue.com/article/6-sneaker-trends-to-look-out-for-in-2025</x:v>
      </x:c>
      <x:c r="I97" s="21" t="str">
        <x:v>https://www.hoka.com/en/us/search?q=HOKA%20Speedgoat%206</x:v>
      </x:c>
    </x:row>
    <x:row r="98" ht="43.5" customHeight="1">
      <x:c r="A98" s="21" t="str">
        <x:v>Alta</x:v>
      </x:c>
      <x:c r="B98" s="21" t="str">
        <x:v>Outdoor / gorpcore</x:v>
      </x:c>
      <x:c r="C98" s="21" t="str">
        <x:v>HOKA</x:v>
      </x:c>
      <x:c r="D98" s="21" t="str">
        <x:v>Tor Ultra Lo</x:v>
      </x:c>
      <x:c r="E98" s="21" t="str">
        <x:v>Black, Olive, Sand, Brown, Grey</x:v>
      </x:c>
      <x:c r="F98" s="21" t="str">
        <x:v>Hombre 39-44 / surtir 40-43</x:v>
      </x:c>
      <x:c r="G98" s="21" t="str">
        <x:v>Comodidad maximalista; buen nicho adulto y runner.</x:v>
      </x:c>
      <x:c r="H98" s="21" t="str">
        <x:v>https://www.vogue.com/article/6-sneaker-trends-to-look-out-for-in-2025</x:v>
      </x:c>
      <x:c r="I98" s="21" t="str">
        <x:v>https://www.hoka.com/en/us/search?q=HOKA%20Tor%20Ultra%20Lo</x:v>
      </x:c>
    </x:row>
    <x:row r="99" ht="43.5" customHeight="1">
      <x:c r="A99" s="21" t="str">
        <x:v>Prueba</x:v>
      </x:c>
      <x:c r="B99" s="21" t="str">
        <x:v>Outdoor / gorpcore</x:v>
      </x:c>
      <x:c r="C99" s="21" t="str">
        <x:v>HOKA</x:v>
      </x:c>
      <x:c r="D99" s="21" t="str">
        <x:v>Hopara / Hopara 2</x:v>
      </x:c>
      <x:c r="E99" s="21" t="str">
        <x:v>Black, Olive, Sand, Cream, Blue</x:v>
      </x:c>
      <x:c r="F99" s="21" t="str">
        <x:v>Hombre 39-44 / surtir 40-43</x:v>
      </x:c>
      <x:c r="G99" s="21" t="str">
        <x:v>Comodidad maximalista; buen nicho adulto y runner.</x:v>
      </x:c>
      <x:c r="H99" s="21" t="str">
        <x:v>https://www.vogue.com/article/6-sneaker-trends-to-look-out-for-in-2025</x:v>
      </x:c>
      <x:c r="I99" s="21" t="str">
        <x:v>https://www.hoka.com/en/us/search?q=HOKA%20Hopara%20%2F%20Hopara%202</x:v>
      </x:c>
    </x:row>
    <x:row r="100" ht="43.5" customHeight="1">
      <x:c r="A100" s="21" t="str">
        <x:v>Alta</x:v>
      </x:c>
      <x:c r="B100" s="21" t="str">
        <x:v>Outdoor / gorpcore</x:v>
      </x:c>
      <x:c r="C100" s="21" t="str">
        <x:v>Salomon</x:v>
      </x:c>
      <x:c r="D100" s="21" t="str">
        <x:v>XT-6</x:v>
      </x:c>
      <x:c r="E100" s="21" t="str">
        <x:v>Black, White/Lunar Rock, Silver, Olive, Safari</x:v>
      </x:c>
      <x:c r="F100" s="21" t="str">
        <x:v>Hombre 39-44 / surtir 40-43</x:v>
      </x:c>
      <x:c r="G100" s="21" t="str">
        <x:v>Chunky outdoor y trail como sneaker de moda.</x:v>
      </x:c>
      <x:c r="H100" s="21" t="str">
        <x:v>https://www.vogue.com/article/6-sneaker-trends-to-look-out-for-in-2025</x:v>
      </x:c>
      <x:c r="I100" s="21" t="str">
        <x:v>https://www.salomon.com/en-us/search?text=Salomon%20XT-6</x:v>
      </x:c>
    </x:row>
    <x:row r="101" ht="43.5" customHeight="1">
      <x:c r="A101" s="21" t="str">
        <x:v>Alta</x:v>
      </x:c>
      <x:c r="B101" s="21" t="str">
        <x:v>Outdoor / gorpcore</x:v>
      </x:c>
      <x:c r="C101" s="21" t="str">
        <x:v>Salomon</x:v>
      </x:c>
      <x:c r="D101" s="21" t="str">
        <x:v>ACS Pro</x:v>
      </x:c>
      <x:c r="E101" s="21" t="str">
        <x:v>Black, Metal, White, Olive, Brown</x:v>
      </x:c>
      <x:c r="F101" s="21" t="str">
        <x:v>Hombre 39-44 / surtir 40-43</x:v>
      </x:c>
      <x:c r="G101" s="21" t="str">
        <x:v>Chunky outdoor y trail como sneaker de moda.</x:v>
      </x:c>
      <x:c r="H101" s="21" t="str">
        <x:v>https://www.vogue.com/article/6-sneaker-trends-to-look-out-for-in-2025</x:v>
      </x:c>
      <x:c r="I101" s="21" t="str">
        <x:v>https://www.salomon.com/en-us/search?text=Salomon%20ACS%20Pro</x:v>
      </x:c>
    </x:row>
    <x:row r="102" ht="43.5" customHeight="1">
      <x:c r="A102" s="21" t="str">
        <x:v>Media</x:v>
      </x:c>
      <x:c r="B102" s="21" t="str">
        <x:v>Outdoor / gorpcore</x:v>
      </x:c>
      <x:c r="C102" s="21" t="str">
        <x:v>Salomon</x:v>
      </x:c>
      <x:c r="D102" s="21" t="str">
        <x:v>XT-Whisper</x:v>
      </x:c>
      <x:c r="E102" s="21" t="str">
        <x:v>Silver, White, Black, Pastel Blue, Pink</x:v>
      </x:c>
      <x:c r="F102" s="21" t="str">
        <x:v>Hombre 39-44 / surtir 40-43</x:v>
      </x:c>
      <x:c r="G102" s="21" t="str">
        <x:v>Chunky outdoor y trail como sneaker de moda.</x:v>
      </x:c>
      <x:c r="H102" s="21" t="str">
        <x:v>https://www.vogue.com/article/6-sneaker-trends-to-look-out-for-in-2025</x:v>
      </x:c>
      <x:c r="I102" s="21" t="str">
        <x:v>https://www.salomon.com/en-us/search?text=Salomon%20XT-Whisper</x:v>
      </x:c>
    </x:row>
    <x:row r="103" ht="43.5" customHeight="1">
      <x:c r="A103" s="21" t="str">
        <x:v>Media</x:v>
      </x:c>
      <x:c r="B103" s="21" t="str">
        <x:v>Outdoor / gorpcore</x:v>
      </x:c>
      <x:c r="C103" s="21" t="str">
        <x:v>Salomon</x:v>
      </x:c>
      <x:c r="D103" s="21" t="str">
        <x:v>Speedcross 3/6</x:v>
      </x:c>
      <x:c r="E103" s="21" t="str">
        <x:v>Black, Red, Lime, Blue, Grey</x:v>
      </x:c>
      <x:c r="F103" s="21" t="str">
        <x:v>Hombre 39-44 / surtir 40-43</x:v>
      </x:c>
      <x:c r="G103" s="21" t="str">
        <x:v>Chunky outdoor y trail como sneaker de moda.</x:v>
      </x:c>
      <x:c r="H103" s="21" t="str">
        <x:v>https://www.vogue.com/article/6-sneaker-trends-to-look-out-for-in-2025</x:v>
      </x:c>
      <x:c r="I103" s="21" t="str">
        <x:v>https://www.salomon.com/en-us/search?text=Salomon%20Speedcross%203%2F6</x:v>
      </x:c>
    </x:row>
    <x:row r="104" ht="43.5" customHeight="1">
      <x:c r="A104" s="21" t="str">
        <x:v>Prueba</x:v>
      </x:c>
      <x:c r="B104" s="21" t="str">
        <x:v>Outdoor / gorpcore</x:v>
      </x:c>
      <x:c r="C104" s="21" t="str">
        <x:v>Salomon</x:v>
      </x:c>
      <x:c r="D104" s="21" t="str">
        <x:v>XA Pro 3D</x:v>
      </x:c>
      <x:c r="E104" s="21" t="str">
        <x:v>Black, Olive, Silver, Blue, Tan</x:v>
      </x:c>
      <x:c r="F104" s="21" t="str">
        <x:v>Hombre 39-44 / surtir 40-43</x:v>
      </x:c>
      <x:c r="G104" s="21" t="str">
        <x:v>Chunky outdoor y trail como sneaker de moda.</x:v>
      </x:c>
      <x:c r="H104" s="21" t="str">
        <x:v>https://www.vogue.com/article/6-sneaker-trends-to-look-out-for-in-2025</x:v>
      </x:c>
      <x:c r="I104" s="21" t="str">
        <x:v>https://www.salomon.com/en-us/search?text=Salomon%20XA%20Pro%203D</x:v>
      </x:c>
    </x:row>
    <x:row r="105" ht="43.5" customHeight="1">
      <x:c r="A105" s="21" t="str">
        <x:v>Alta</x:v>
      </x:c>
      <x:c r="B105" s="21" t="str">
        <x:v>Skate / retro casual</x:v>
      </x:c>
      <x:c r="C105" s="21" t="str">
        <x:v>PUMA</x:v>
      </x:c>
      <x:c r="D105" s="21" t="str">
        <x:v>Speedcat OG</x:v>
      </x:c>
      <x:c r="E105" s="21" t="str">
        <x:v>Black/White, Red/White, Brown, Silver, Pink</x:v>
      </x:c>
      <x:c r="F105" s="21" t="str">
        <x:v>Hombre 39-44 / surtir 40-43</x:v>
      </x:c>
      <x:c r="G105" s="21" t="str">
        <x:v>Siluetas bajas y retro futbol/skate entran fuerte.</x:v>
      </x:c>
      <x:c r="H105" s="21" t="str">
        <x:v>https://www.vogue.com/article/6-sneaker-trends-to-look-out-for-in-2025</x:v>
      </x:c>
      <x:c r="I105" s="21" t="str">
        <x:v>https://us.puma.com/us/en/search?q=PUMA%20Speedcat%20OG</x:v>
      </x:c>
    </x:row>
    <x:row r="106" ht="43.5" customHeight="1">
      <x:c r="A106" s="21" t="str">
        <x:v>Media</x:v>
      </x:c>
      <x:c r="B106" s="21" t="str">
        <x:v>Skate / retro casual</x:v>
      </x:c>
      <x:c r="C106" s="21" t="str">
        <x:v>PUMA</x:v>
      </x:c>
      <x:c r="D106" s="21" t="str">
        <x:v>Palermo</x:v>
      </x:c>
      <x:c r="E106" s="21" t="str">
        <x:v>Green/Gum, Blue/Gum, Black/Gum, Red, Cream</x:v>
      </x:c>
      <x:c r="F106" s="21" t="str">
        <x:v>Hombre 39-44 / surtir 40-43</x:v>
      </x:c>
      <x:c r="G106" s="21" t="str">
        <x:v>Siluetas bajas y retro futbol/skate entran fuerte.</x:v>
      </x:c>
      <x:c r="H106" s="21" t="str">
        <x:v>https://www.vogue.com/article/6-sneaker-trends-to-look-out-for-in-2025</x:v>
      </x:c>
      <x:c r="I106" s="21" t="str">
        <x:v>https://us.puma.com/us/en/search?q=PUMA%20Palermo</x:v>
      </x:c>
    </x:row>
    <x:row r="107" ht="43.5" customHeight="1">
      <x:c r="A107" s="21" t="str">
        <x:v>Media</x:v>
      </x:c>
      <x:c r="B107" s="21" t="str">
        <x:v>Skate / retro casual</x:v>
      </x:c>
      <x:c r="C107" s="21" t="str">
        <x:v>PUMA</x:v>
      </x:c>
      <x:c r="D107" s="21" t="str">
        <x:v>Suede XL</x:v>
      </x:c>
      <x:c r="E107" s="21" t="str">
        <x:v>Black/White, Green, Navy, Red, Beige</x:v>
      </x:c>
      <x:c r="F107" s="21" t="str">
        <x:v>Hombre 39-44 / surtir 40-43</x:v>
      </x:c>
      <x:c r="G107" s="21" t="str">
        <x:v>Siluetas bajas y retro futbol/skate entran fuerte.</x:v>
      </x:c>
      <x:c r="H107" s="21" t="str">
        <x:v>https://www.vogue.com/article/6-sneaker-trends-to-look-out-for-in-2025</x:v>
      </x:c>
      <x:c r="I107" s="21" t="str">
        <x:v>https://us.puma.com/us/en/search?q=PUMA%20Suede%20XL</x:v>
      </x:c>
    </x:row>
    <x:row r="108" ht="43.5" customHeight="1">
      <x:c r="A108" s="21" t="str">
        <x:v>Prueba</x:v>
      </x:c>
      <x:c r="B108" s="21" t="str">
        <x:v>Skate / retro casual</x:v>
      </x:c>
      <x:c r="C108" s="21" t="str">
        <x:v>PUMA</x:v>
      </x:c>
      <x:c r="D108" s="21" t="str">
        <x:v>Mostro</x:v>
      </x:c>
      <x:c r="E108" s="21" t="str">
        <x:v>Black, Silver, Yellow, Red, White</x:v>
      </x:c>
      <x:c r="F108" s="21" t="str">
        <x:v>Hombre 39-44 / surtir 40-43</x:v>
      </x:c>
      <x:c r="G108" s="21" t="str">
        <x:v>Siluetas bajas y retro futbol/skate entran fuerte.</x:v>
      </x:c>
      <x:c r="H108" s="21" t="str">
        <x:v>https://www.vogue.com/article/6-sneaker-trends-to-look-out-for-in-2025</x:v>
      </x:c>
      <x:c r="I108" s="21" t="str">
        <x:v>https://us.puma.com/us/en/search?q=PUMA%20Mostro</x:v>
      </x:c>
    </x:row>
    <x:row r="109" ht="43.5" customHeight="1">
      <x:c r="A109" s="21" t="str">
        <x:v>Media</x:v>
      </x:c>
      <x:c r="B109" s="21" t="str">
        <x:v>Skate / retro casual</x:v>
      </x:c>
      <x:c r="C109" s="21" t="str">
        <x:v>PUMA</x:v>
      </x:c>
      <x:c r="D109" s="21" t="str">
        <x:v>LaMelo Ball MB.04/MB.05</x:v>
      </x:c>
      <x:c r="E109" s="21" t="str">
        <x:v>Rick and Morty brights, Blue, Red, Black, Silver</x:v>
      </x:c>
      <x:c r="F109" s="21" t="str">
        <x:v>Hombre 39-44 / surtir 40-43</x:v>
      </x:c>
      <x:c r="G109" s="21" t="str">
        <x:v>Siluetas bajas y retro futbol/skate entran fuerte.</x:v>
      </x:c>
      <x:c r="H109" s="21" t="str">
        <x:v>https://www.vogue.com/article/6-sneaker-trends-to-look-out-for-in-2025</x:v>
      </x:c>
      <x:c r="I109" s="21" t="str">
        <x:v>https://us.puma.com/us/en/search?q=PUMA%20LaMelo%20Ball%20MB.04%2FMB.05</x:v>
      </x:c>
    </x:row>
    <x:row r="110" ht="43.5" customHeight="1">
      <x:c r="A110" s="21" t="str">
        <x:v>Prueba</x:v>
      </x:c>
      <x:c r="B110" s="21" t="str">
        <x:v>Skate / retro casual</x:v>
      </x:c>
      <x:c r="C110" s="21" t="str">
        <x:v>PUMA</x:v>
      </x:c>
      <x:c r="D110" s="21" t="str">
        <x:v>Scoot Zeros</x:v>
      </x:c>
      <x:c r="E110" s="21" t="str">
        <x:v>Black/White, Purple, Red, Blue, Green</x:v>
      </x:c>
      <x:c r="F110" s="21" t="str">
        <x:v>Hombre 39-44 / surtir 40-43</x:v>
      </x:c>
      <x:c r="G110" s="21" t="str">
        <x:v>Siluetas bajas y retro futbol/skate entran fuerte.</x:v>
      </x:c>
      <x:c r="H110" s="21" t="str">
        <x:v>https://www.vogue.com/article/6-sneaker-trends-to-look-out-for-in-2025</x:v>
      </x:c>
      <x:c r="I110" s="21" t="str">
        <x:v>https://us.puma.com/us/en/search?q=PUMA%20Scoot%20Zeros</x:v>
      </x:c>
    </x:row>
    <x:row r="111" ht="43.5" customHeight="1">
      <x:c r="A111" s="21" t="str">
        <x:v>Alta</x:v>
      </x:c>
      <x:c r="B111" s="21" t="str">
        <x:v>Skate / retro casual</x:v>
      </x:c>
      <x:c r="C111" s="21" t="str">
        <x:v>Vans</x:v>
      </x:c>
      <x:c r="D111" s="21" t="str">
        <x:v>Old Skool 36</x:v>
      </x:c>
      <x:c r="E111" s="21" t="str">
        <x:v>Black/White, Pearlized Black Navy, Gum, Checkerboard</x:v>
      </x:c>
      <x:c r="F111" s="21" t="str">
        <x:v>Hombre 38-44 / surtir 39-42</x:v>
      </x:c>
      <x:c r="G111" s="21" t="str">
        <x:v>Skate vuelve por minimalismo y colegio.</x:v>
      </x:c>
      <x:c r="H111" s="21" t="str">
        <x:v>https://www.vogue.com/article/6-sneaker-trends-to-look-out-for-in-2025</x:v>
      </x:c>
      <x:c r="I111" s="21" t="str">
        <x:v>https://www.vans.com/en-us/search/product?q=Vans%20Old%20Skool%2036</x:v>
      </x:c>
    </x:row>
    <x:row r="112" ht="43.5" customHeight="1">
      <x:c r="A112" s="21" t="str">
        <x:v>Media</x:v>
      </x:c>
      <x:c r="B112" s="21" t="str">
        <x:v>Skate / retro casual</x:v>
      </x:c>
      <x:c r="C112" s="21" t="str">
        <x:v>Vans</x:v>
      </x:c>
      <x:c r="D112" s="21" t="str">
        <x:v>Knu Skool</x:v>
      </x:c>
      <x:c r="E112" s="21" t="str">
        <x:v>Black/White, Navy, Brown, Checkerboard, Grey</x:v>
      </x:c>
      <x:c r="F112" s="21" t="str">
        <x:v>Hombre 38-44 / surtir 39-42</x:v>
      </x:c>
      <x:c r="G112" s="21" t="str">
        <x:v>Skate vuelve por minimalismo y colegio.</x:v>
      </x:c>
      <x:c r="H112" s="21" t="str">
        <x:v>https://www.vogue.com/article/6-sneaker-trends-to-look-out-for-in-2025</x:v>
      </x:c>
      <x:c r="I112" s="21" t="str">
        <x:v>https://www.vans.com/en-us/search/product?q=Vans%20Knu%20Skool</x:v>
      </x:c>
    </x:row>
    <x:row r="113" ht="43.5" customHeight="1">
      <x:c r="A113" s="21" t="str">
        <x:v>Media</x:v>
      </x:c>
      <x:c r="B113" s="21" t="str">
        <x:v>Skate / retro casual</x:v>
      </x:c>
      <x:c r="C113" s="21" t="str">
        <x:v>Vans</x:v>
      </x:c>
      <x:c r="D113" s="21" t="str">
        <x:v>Slip-On Classic</x:v>
      </x:c>
      <x:c r="E113" s="21" t="str">
        <x:v>Checkerboard, Black, White, Leopard, Gum</x:v>
      </x:c>
      <x:c r="F113" s="21" t="str">
        <x:v>Hombre 38-44 / surtir 39-42</x:v>
      </x:c>
      <x:c r="G113" s="21" t="str">
        <x:v>Skate vuelve por minimalismo y colegio.</x:v>
      </x:c>
      <x:c r="H113" s="21" t="str">
        <x:v>https://www.vogue.com/article/6-sneaker-trends-to-look-out-for-in-2025</x:v>
      </x:c>
      <x:c r="I113" s="21" t="str">
        <x:v>https://www.vans.com/en-us/search/product?q=Vans%20Slip-On%20Classic</x:v>
      </x:c>
    </x:row>
    <x:row r="114" ht="43.5" customHeight="1">
      <x:c r="A114" s="21" t="str">
        <x:v>Prueba</x:v>
      </x:c>
      <x:c r="B114" s="21" t="str">
        <x:v>Skate / retro casual</x:v>
      </x:c>
      <x:c r="C114" s="21" t="str">
        <x:v>Vans</x:v>
      </x:c>
      <x:c r="D114" s="21" t="str">
        <x:v>Authentic</x:v>
      </x:c>
      <x:c r="E114" s="21" t="str">
        <x:v>Black, White, Navy, Red, Natural</x:v>
      </x:c>
      <x:c r="F114" s="21" t="str">
        <x:v>Hombre 38-44 / surtir 39-42</x:v>
      </x:c>
      <x:c r="G114" s="21" t="str">
        <x:v>Skate vuelve por minimalismo y colegio.</x:v>
      </x:c>
      <x:c r="H114" s="21" t="str">
        <x:v>https://www.vogue.com/article/6-sneaker-trends-to-look-out-for-in-2025</x:v>
      </x:c>
      <x:c r="I114" s="21" t="str">
        <x:v>https://www.vans.com/en-us/search/product?q=Vans%20Authentic</x:v>
      </x:c>
    </x:row>
    <x:row r="115" ht="43.5" customHeight="1">
      <x:c r="A115" s="21" t="str">
        <x:v>Prueba</x:v>
      </x:c>
      <x:c r="B115" s="21" t="str">
        <x:v>Skate / retro casual</x:v>
      </x:c>
      <x:c r="C115" s="21" t="str">
        <x:v>Vans</x:v>
      </x:c>
      <x:c r="D115" s="21" t="str">
        <x:v>Sk8-Hi</x:v>
      </x:c>
      <x:c r="E115" s="21" t="str">
        <x:v>Black/White, All Black, Navy, Checkerboard, Red</x:v>
      </x:c>
      <x:c r="F115" s="21" t="str">
        <x:v>Hombre 38-44 / surtir 39-42</x:v>
      </x:c>
      <x:c r="G115" s="21" t="str">
        <x:v>Skate vuelve por minimalismo y colegio.</x:v>
      </x:c>
      <x:c r="H115" s="21" t="str">
        <x:v>https://www.vogue.com/article/6-sneaker-trends-to-look-out-for-in-2025</x:v>
      </x:c>
      <x:c r="I115" s="21" t="str">
        <x:v>https://www.vans.com/en-us/search/product?q=Vans%20Sk8-Hi</x:v>
      </x:c>
    </x:row>
    <x:row r="116" ht="43.5" customHeight="1">
      <x:c r="A116" s="21" t="str">
        <x:v>Alta</x:v>
      </x:c>
      <x:c r="B116" s="21" t="str">
        <x:v>Skate / retro casual</x:v>
      </x:c>
      <x:c r="C116" s="21" t="str">
        <x:v>Converse</x:v>
      </x:c>
      <x:c r="D116" s="21" t="str">
        <x:v>Chuck Taylor All Star High</x:v>
      </x:c>
      <x:c r="E116" s="21" t="str">
        <x:v>Black, Optical White, Red, Navy, Cream</x:v>
      </x:c>
      <x:c r="F116" s="21" t="str">
        <x:v>Hombre 38-44 / surtir 39-42</x:v>
      </x:c>
      <x:c r="G116" s="21" t="str">
        <x:v>High-top retro para moda simple y colegio.</x:v>
      </x:c>
      <x:c r="H116" s="21" t="str">
        <x:v>https://www.vogue.com/article/6-sneaker-trends-to-look-out-for-in-2025</x:v>
      </x:c>
      <x:c r="I116" s="21" t="str">
        <x:v>https://www.converse.com/search?q=Converse%20Chuck%20Taylor%20All%20Star%20High</x:v>
      </x:c>
    </x:row>
    <x:row r="117" ht="43.5" customHeight="1">
      <x:c r="A117" s="21" t="str">
        <x:v>Alta</x:v>
      </x:c>
      <x:c r="B117" s="21" t="str">
        <x:v>Skate / retro casual</x:v>
      </x:c>
      <x:c r="C117" s="21" t="str">
        <x:v>Converse</x:v>
      </x:c>
      <x:c r="D117" s="21" t="str">
        <x:v>Chuck 70 High</x:v>
      </x:c>
      <x:c r="E117" s="21" t="str">
        <x:v>Black, Parchment, Navy, Egret, Brown</x:v>
      </x:c>
      <x:c r="F117" s="21" t="str">
        <x:v>Hombre 38-44 / surtir 39-42</x:v>
      </x:c>
      <x:c r="G117" s="21" t="str">
        <x:v>High-top retro para moda simple y colegio.</x:v>
      </x:c>
      <x:c r="H117" s="21" t="str">
        <x:v>https://www.vogue.com/article/6-sneaker-trends-to-look-out-for-in-2025</x:v>
      </x:c>
      <x:c r="I117" s="21" t="str">
        <x:v>https://www.converse.com/search?q=Converse%20Chuck%2070%20High</x:v>
      </x:c>
    </x:row>
    <x:row r="118" ht="43.5" customHeight="1">
      <x:c r="A118" s="21" t="str">
        <x:v>Media</x:v>
      </x:c>
      <x:c r="B118" s="21" t="str">
        <x:v>Skate / retro casual</x:v>
      </x:c>
      <x:c r="C118" s="21" t="str">
        <x:v>Converse</x:v>
      </x:c>
      <x:c r="D118" s="21" t="str">
        <x:v>Chuck 70 Low</x:v>
      </x:c>
      <x:c r="E118" s="21" t="str">
        <x:v>Black, Parchment, White, Green, Navy</x:v>
      </x:c>
      <x:c r="F118" s="21" t="str">
        <x:v>Hombre 38-44 / surtir 39-42</x:v>
      </x:c>
      <x:c r="G118" s="21" t="str">
        <x:v>High-top retro para moda simple y colegio.</x:v>
      </x:c>
      <x:c r="H118" s="21" t="str">
        <x:v>https://www.vogue.com/article/6-sneaker-trends-to-look-out-for-in-2025</x:v>
      </x:c>
      <x:c r="I118" s="21" t="str">
        <x:v>https://www.converse.com/search?q=Converse%20Chuck%2070%20Low</x:v>
      </x:c>
    </x:row>
    <x:row r="119" ht="43.5" customHeight="1">
      <x:c r="A119" s="21" t="str">
        <x:v>Prueba</x:v>
      </x:c>
      <x:c r="B119" s="21" t="str">
        <x:v>Skate / retro casual</x:v>
      </x:c>
      <x:c r="C119" s="21" t="str">
        <x:v>Converse</x:v>
      </x:c>
      <x:c r="D119" s="21" t="str">
        <x:v>Run Star Hike</x:v>
      </x:c>
      <x:c r="E119" s="21" t="str">
        <x:v>Black, White, Platform cream, Red</x:v>
      </x:c>
      <x:c r="F119" s="21" t="str">
        <x:v>Hombre 38-44 / surtir 39-42</x:v>
      </x:c>
      <x:c r="G119" s="21" t="str">
        <x:v>High-top retro para moda simple y colegio.</x:v>
      </x:c>
      <x:c r="H119" s="21" t="str">
        <x:v>https://www.vogue.com/article/6-sneaker-trends-to-look-out-for-in-2025</x:v>
      </x:c>
      <x:c r="I119" s="21" t="str">
        <x:v>https://www.converse.com/search?q=Converse%20Run%20Star%20Hike</x:v>
      </x:c>
    </x:row>
    <x:row r="120" ht="43.5" customHeight="1">
      <x:c r="A120" s="22" t="str">
        <x:v>Prueba</x:v>
      </x:c>
      <x:c r="B120" s="22" t="str">
        <x:v>Skate / retro casual</x:v>
      </x:c>
      <x:c r="C120" s="22" t="str">
        <x:v>Converse</x:v>
      </x:c>
      <x:c r="D120" s="22" t="str">
        <x:v>One Star</x:v>
      </x:c>
      <x:c r="E120" s="22" t="str">
        <x:v>Black, Suede Brown, Navy, Green, Cream</x:v>
      </x:c>
      <x:c r="F120" s="22" t="str">
        <x:v>Hombre 38-44 / surtir 39-42</x:v>
      </x:c>
      <x:c r="G120" s="22" t="str">
        <x:v>High-top retro para moda simple y colegio.</x:v>
      </x:c>
      <x:c r="H120" s="22" t="str">
        <x:v>https://www.vogue.com/article/6-sneaker-trends-to-look-out-for-in-2025</x:v>
      </x:c>
      <x:c r="I120" s="22" t="str">
        <x:v>https://www.converse.com/search?q=Converse%20One%20Star</x:v>
      </x:c>
    </x:row>
  </x:sheetData>
  <x:mergeCells>
    <x:mergeCell ref="A1:I1"/>
    <x:mergeCell ref="A2:I2"/>
  </x:mergeCells>
  <x:conditionalFormatting sqref="A6:A120">
    <x:cfRule type="containsText" dxfId="3" priority="1" operator="containsText" text="Alta"/>
    <x:cfRule type="containsText" dxfId="4" priority="2" operator="containsText" text="Media"/>
    <x:cfRule type="containsText" dxfId="5" priority="3" operator="containsText" text="Prueba"/>
  </x:conditionalFormatting>
  <x:pageMargins left="0.7" right="0.7" top="0.75" bottom="0.75" header="0.3" footer="0.3"/>
  <x:tableParts count="1">
    <x:tablePart xmlns:r="http://schemas.openxmlformats.org/officeDocument/2006/relationships" r:id="Rc1362047a9e047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3.75" hidden="0" customWidth="1"/>
    <x:col min="3" max="3" width="11.880000114440918" hidden="0" customWidth="1"/>
    <x:col min="4" max="4" width="28.1299991607666" hidden="0" customWidth="1"/>
    <x:col min="5" max="5" width="45" hidden="0" customWidth="1"/>
    <x:col min="6" max="6" width="23.75" hidden="0" customWidth="1"/>
    <x:col min="7" max="7" width="37.5" hidden="0" customWidth="1"/>
    <x:col min="8" max="8" width="37.5" hidden="0" customWidth="1"/>
    <x:col min="9" max="9" width="37.5" hidden="0" customWidth="1"/>
  </x:cols>
  <x:sheetData>
    <x:row r="1">
      <x:c r="A1" s="16" t="str">
        <x:v>Machete Dama</x:v>
      </x:c>
      <x:c r="B1" s="17"/>
      <x:c r="C1" s="17"/>
      <x:c r="D1" s="17"/>
      <x:c r="E1" s="17"/>
      <x:c r="F1" s="17"/>
      <x:c r="G1" s="17"/>
      <x:c r="H1" s="17"/>
      <x:c r="I1" s="17"/>
    </x:row>
    <x:row r="2">
      <x:c r="A2" s="18" t="str">
        <x:v>Misma base filtrada por cliente objetivo.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</x:row>
    <x:row r="5">
      <x:c r="A5" s="19" t="str">
        <x:v>Prioridad</x:v>
      </x:c>
      <x:c r="B5" s="19" t="str">
        <x:v>Segmento</x:v>
      </x:c>
      <x:c r="C5" s="19" t="str">
        <x:v>Marca</x:v>
      </x:c>
      <x:c r="D5" s="19" t="str">
        <x:v>Referencia / modelo</x:v>
      </x:c>
      <x:c r="E5" s="19" t="str">
        <x:v>Colores recomendados</x:v>
      </x:c>
      <x:c r="F5" s="19" t="str">
        <x:v>Talla objetivo</x:v>
      </x:c>
      <x:c r="G5" s="19" t="str">
        <x:v>Por que pedirla</x:v>
      </x:c>
      <x:c r="H5" s="19" t="str">
        <x:v>Fuente tendencia</x:v>
      </x:c>
      <x:c r="I5" s="19" t="str">
        <x:v>Busqueda oficial</x:v>
      </x:c>
    </x:row>
    <x:row r="6" ht="43.5" customHeight="1">
      <x:c r="A6" s="20" t="str">
        <x:v>Alta</x:v>
      </x:c>
      <x:c r="B6" s="20" t="str">
        <x:v>Dama tendencia / sneakerina</x:v>
      </x:c>
      <x:c r="C6" s="20" t="str">
        <x:v>adidas</x:v>
      </x:c>
      <x:c r="D6" s="20" t="str">
        <x:v>Taekwondo Mei Ballet</x:v>
      </x:c>
      <x:c r="E6" s="20" t="str">
        <x:v>Black/White, White/Black, Silver, Butter Yellow, Pink</x:v>
      </x:c>
      <x:c r="F6" s="20" t="str">
        <x:v>Dama 35-40 / surtir 36-39</x:v>
      </x:c>
      <x:c r="G6" s="20" t="str">
        <x:v>Dama pide bajos, delgados, satinados, amarillos y blanco/negro.</x:v>
      </x:c>
      <x:c r="H6" s="20" t="str">
        <x:v>https://www.adidas.com/us/release-dates</x:v>
      </x:c>
      <x:c r="I6" s="20" t="str">
        <x:v>https://www.adidas.com/us/search?q=adidas%20Taekwondo%20Mei%20Ballet</x:v>
      </x:c>
    </x:row>
    <x:row r="7" ht="43.5" customHeight="1">
      <x:c r="A7" s="21" t="str">
        <x:v>Alta</x:v>
      </x:c>
      <x:c r="B7" s="21" t="str">
        <x:v>Dama tendencia / sneakerina</x:v>
      </x:c>
      <x:c r="C7" s="21" t="str">
        <x:v>adidas</x:v>
      </x:c>
      <x:c r="D7" s="21" t="str">
        <x:v>Samba Jane</x:v>
      </x:c>
      <x:c r="E7" s="21" t="str">
        <x:v>Black/White, White/Black, Burgundy, Silver, Cream</x:v>
      </x:c>
      <x:c r="F7" s="21" t="str">
        <x:v>Dama 35-40 / surtir 36-39</x:v>
      </x:c>
      <x:c r="G7" s="21" t="str">
        <x:v>Dama pide bajos, delgados, satinados, amarillos y blanco/negro.</x:v>
      </x:c>
      <x:c r="H7" s="21" t="str">
        <x:v>https://www.adidas.com/us/release-dates</x:v>
      </x:c>
      <x:c r="I7" s="21" t="str">
        <x:v>https://www.adidas.com/us/search?q=adidas%20Samba%20Jane</x:v>
      </x:c>
    </x:row>
    <x:row r="8" ht="43.5" customHeight="1">
      <x:c r="A8" s="21" t="str">
        <x:v>Alta</x:v>
      </x:c>
      <x:c r="B8" s="21" t="str">
        <x:v>Dama tendencia / sneakerina</x:v>
      </x:c>
      <x:c r="C8" s="21" t="str">
        <x:v>adidas</x:v>
      </x:c>
      <x:c r="D8" s="21" t="str">
        <x:v>Tokyo</x:v>
      </x:c>
      <x:c r="E8" s="21" t="str">
        <x:v>Silver, Black/White, Red, Navy, Butter Yellow</x:v>
      </x:c>
      <x:c r="F8" s="21" t="str">
        <x:v>Dama 35-40 / surtir 36-39</x:v>
      </x:c>
      <x:c r="G8" s="21" t="str">
        <x:v>Dama pide bajos, delgados, satinados, amarillos y blanco/negro.</x:v>
      </x:c>
      <x:c r="H8" s="21" t="str">
        <x:v>https://www.adidas.com/us/release-dates</x:v>
      </x:c>
      <x:c r="I8" s="21" t="str">
        <x:v>https://www.adidas.com/us/search?q=adidas%20Tokyo</x:v>
      </x:c>
    </x:row>
    <x:row r="9" ht="43.5" customHeight="1">
      <x:c r="A9" s="21" t="str">
        <x:v>Alta</x:v>
      </x:c>
      <x:c r="B9" s="21" t="str">
        <x:v>Dama tendencia / sneakerina</x:v>
      </x:c>
      <x:c r="C9" s="21" t="str">
        <x:v>adidas</x:v>
      </x:c>
      <x:c r="D9" s="21" t="str">
        <x:v>Gazelle Indoor</x:v>
      </x:c>
      <x:c r="E9" s="21" t="str">
        <x:v>Butter Yellow, Pink, Burgundy, Green, Blue/Gum</x:v>
      </x:c>
      <x:c r="F9" s="21" t="str">
        <x:v>Dama 35-40 / surtir 36-39</x:v>
      </x:c>
      <x:c r="G9" s="21" t="str">
        <x:v>Dama pide bajos, delgados, satinados, amarillos y blanco/negro.</x:v>
      </x:c>
      <x:c r="H9" s="21" t="str">
        <x:v>https://www.adidas.com/us/release-dates</x:v>
      </x:c>
      <x:c r="I9" s="21" t="str">
        <x:v>https://www.adidas.com/us/search?q=adidas%20Gazelle%20Indoor</x:v>
      </x:c>
    </x:row>
    <x:row r="10" ht="43.5" customHeight="1">
      <x:c r="A10" s="21" t="str">
        <x:v>Alta</x:v>
      </x:c>
      <x:c r="B10" s="21" t="str">
        <x:v>Dama tendencia / sneakerina</x:v>
      </x:c>
      <x:c r="C10" s="21" t="str">
        <x:v>adidas</x:v>
      </x:c>
      <x:c r="D10" s="21" t="str">
        <x:v>Samba OG</x:v>
      </x:c>
      <x:c r="E10" s="21" t="str">
        <x:v>White/Black, Black/White, Burgundy, Collegiate Green, Leopard</x:v>
      </x:c>
      <x:c r="F10" s="21" t="str">
        <x:v>Dama 35-40 / surtir 36-39</x:v>
      </x:c>
      <x:c r="G10" s="21" t="str">
        <x:v>Dama pide bajos, delgados, satinados, amarillos y blanco/negro.</x:v>
      </x:c>
      <x:c r="H10" s="21" t="str">
        <x:v>https://www.adidas.com/us/release-dates</x:v>
      </x:c>
      <x:c r="I10" s="21" t="str">
        <x:v>https://www.adidas.com/us/search?q=adidas%20Samba%20OG</x:v>
      </x:c>
    </x:row>
    <x:row r="11" ht="43.5" customHeight="1">
      <x:c r="A11" s="21" t="str">
        <x:v>Media</x:v>
      </x:c>
      <x:c r="B11" s="21" t="str">
        <x:v>Dama tendencia / sneakerina</x:v>
      </x:c>
      <x:c r="C11" s="21" t="str">
        <x:v>adidas</x:v>
      </x:c>
      <x:c r="D11" s="21" t="str">
        <x:v>SL 72</x:v>
      </x:c>
      <x:c r="E11" s="21" t="str">
        <x:v>Yellow, Blue, Red, Green, Silver</x:v>
      </x:c>
      <x:c r="F11" s="21" t="str">
        <x:v>Dama 35-40 / surtir 36-39</x:v>
      </x:c>
      <x:c r="G11" s="21" t="str">
        <x:v>Dama pide bajos, delgados, satinados, amarillos y blanco/negro.</x:v>
      </x:c>
      <x:c r="H11" s="21" t="str">
        <x:v>https://www.adidas.com/us/release-dates</x:v>
      </x:c>
      <x:c r="I11" s="21" t="str">
        <x:v>https://www.adidas.com/us/search?q=adidas%20SL%2072</x:v>
      </x:c>
    </x:row>
    <x:row r="12" ht="43.5" customHeight="1">
      <x:c r="A12" s="21" t="str">
        <x:v>Media</x:v>
      </x:c>
      <x:c r="B12" s="21" t="str">
        <x:v>Dama tendencia / sneakerina</x:v>
      </x:c>
      <x:c r="C12" s="21" t="str">
        <x:v>adidas</x:v>
      </x:c>
      <x:c r="D12" s="21" t="str">
        <x:v>Campus 00s</x:v>
      </x:c>
      <x:c r="E12" s="21" t="str">
        <x:v>Grey, Pink, Burgundy, Cream, Black</x:v>
      </x:c>
      <x:c r="F12" s="21" t="str">
        <x:v>Dama 35-40 / surtir 36-39</x:v>
      </x:c>
      <x:c r="G12" s="21" t="str">
        <x:v>Dama pide bajos, delgados, satinados, amarillos y blanco/negro.</x:v>
      </x:c>
      <x:c r="H12" s="21" t="str">
        <x:v>https://www.adidas.com/us/release-dates</x:v>
      </x:c>
      <x:c r="I12" s="21" t="str">
        <x:v>https://www.adidas.com/us/search?q=adidas%20Campus%2000s</x:v>
      </x:c>
    </x:row>
    <x:row r="13" ht="43.5" customHeight="1">
      <x:c r="A13" s="21" t="str">
        <x:v>Media</x:v>
      </x:c>
      <x:c r="B13" s="21" t="str">
        <x:v>Dama tendencia / sneakerina</x:v>
      </x:c>
      <x:c r="C13" s="21" t="str">
        <x:v>adidas</x:v>
      </x:c>
      <x:c r="D13" s="21" t="str">
        <x:v>Handball Spezial</x:v>
      </x:c>
      <x:c r="E13" s="21" t="str">
        <x:v>Navy/Gum, Brown, Light Blue, Green, Pink</x:v>
      </x:c>
      <x:c r="F13" s="21" t="str">
        <x:v>Dama 35-40 / surtir 36-39</x:v>
      </x:c>
      <x:c r="G13" s="21" t="str">
        <x:v>Dama pide bajos, delgados, satinados, amarillos y blanco/negro.</x:v>
      </x:c>
      <x:c r="H13" s="21" t="str">
        <x:v>https://www.adidas.com/us/release-dates</x:v>
      </x:c>
      <x:c r="I13" s="21" t="str">
        <x:v>https://www.adidas.com/us/search?q=adidas%20Handball%20Spezial</x:v>
      </x:c>
    </x:row>
    <x:row r="14" ht="43.5" customHeight="1">
      <x:c r="A14" s="21" t="str">
        <x:v>Alta</x:v>
      </x:c>
      <x:c r="B14" s="21" t="str">
        <x:v>Dama tendencia / metalizado</x:v>
      </x:c>
      <x:c r="C14" s="21" t="str">
        <x:v>New Balance</x:v>
      </x:c>
      <x:c r="D14" s="21" t="str">
        <x:v>New Balance 530</x:v>
      </x:c>
      <x:c r="E14" s="21" t="str">
        <x:v>White/Silver, Pink, Sea Salt, Beige, Blue</x:v>
      </x:c>
      <x:c r="F14" s="21" t="str">
        <x:v>Dama 35-40 / surtir 36-39</x:v>
      </x:c>
      <x:c r="G14" s="21" t="str">
        <x:v>Metalizados, runner slim y Y2K son fuertes en dama.</x:v>
      </x:c>
      <x:c r="H14" s="21" t="str">
        <x:v>https://stockx.com/about/sx-market-insights/big-facts-current-culture-index-2026/</x:v>
      </x:c>
      <x:c r="I14" s="21" t="str">
        <x:v>https://www.newbalance.com/search?q=New%20Balance%20New%20Balance%20530</x:v>
      </x:c>
    </x:row>
    <x:row r="15" ht="43.5" customHeight="1">
      <x:c r="A15" s="21" t="str">
        <x:v>Alta</x:v>
      </x:c>
      <x:c r="B15" s="21" t="str">
        <x:v>Dama tendencia / metalizado</x:v>
      </x:c>
      <x:c r="C15" s="21" t="str">
        <x:v>New Balance</x:v>
      </x:c>
      <x:c r="D15" s="21" t="str">
        <x:v>New Balance 9060</x:v>
      </x:c>
      <x:c r="E15" s="21" t="str">
        <x:v>Moonbeam, Rain Cloud, Pink, Sea Salt, Black</x:v>
      </x:c>
      <x:c r="F15" s="21" t="str">
        <x:v>Dama 35-40 / surtir 36-39</x:v>
      </x:c>
      <x:c r="G15" s="21" t="str">
        <x:v>Metalizados, runner slim y Y2K son fuertes en dama.</x:v>
      </x:c>
      <x:c r="H15" s="21" t="str">
        <x:v>https://stockx.com/about/sx-market-insights/big-facts-current-culture-index-2026/</x:v>
      </x:c>
      <x:c r="I15" s="21" t="str">
        <x:v>https://www.newbalance.com/search?q=New%20Balance%20New%20Balance%209060</x:v>
      </x:c>
    </x:row>
    <x:row r="16" ht="43.5" customHeight="1">
      <x:c r="A16" s="21" t="str">
        <x:v>Alta</x:v>
      </x:c>
      <x:c r="B16" s="21" t="str">
        <x:v>Dama tendencia / metalizado</x:v>
      </x:c>
      <x:c r="C16" s="21" t="str">
        <x:v>New Balance</x:v>
      </x:c>
      <x:c r="D16" s="21" t="str">
        <x:v>New Balance 1906R</x:v>
      </x:c>
      <x:c r="E16" s="21" t="str">
        <x:v>Silver Metallic, Rose, Cream, Black, Blue</x:v>
      </x:c>
      <x:c r="F16" s="21" t="str">
        <x:v>Dama 35-40 / surtir 36-39</x:v>
      </x:c>
      <x:c r="G16" s="21" t="str">
        <x:v>Metalizados, runner slim y Y2K son fuertes en dama.</x:v>
      </x:c>
      <x:c r="H16" s="21" t="str">
        <x:v>https://stockx.com/about/sx-market-insights/big-facts-current-culture-index-2026/</x:v>
      </x:c>
      <x:c r="I16" s="21" t="str">
        <x:v>https://www.newbalance.com/search?q=New%20Balance%20New%20Balance%201906R</x:v>
      </x:c>
    </x:row>
    <x:row r="17" ht="43.5" customHeight="1">
      <x:c r="A17" s="21" t="str">
        <x:v>Media</x:v>
      </x:c>
      <x:c r="B17" s="21" t="str">
        <x:v>Dama tendencia / metalizado</x:v>
      </x:c>
      <x:c r="C17" s="21" t="str">
        <x:v>New Balance</x:v>
      </x:c>
      <x:c r="D17" s="21" t="str">
        <x:v>New Balance 327</x:v>
      </x:c>
      <x:c r="E17" s="21" t="str">
        <x:v>Animal Print, White/Black, Pink, Navy, Green</x:v>
      </x:c>
      <x:c r="F17" s="21" t="str">
        <x:v>Dama 35-40 / surtir 36-39</x:v>
      </x:c>
      <x:c r="G17" s="21" t="str">
        <x:v>Metalizados, runner slim y Y2K son fuertes en dama.</x:v>
      </x:c>
      <x:c r="H17" s="21" t="str">
        <x:v>https://stockx.com/about/sx-market-insights/big-facts-current-culture-index-2026/</x:v>
      </x:c>
      <x:c r="I17" s="21" t="str">
        <x:v>https://www.newbalance.com/search?q=New%20Balance%20New%20Balance%20327</x:v>
      </x:c>
    </x:row>
    <x:row r="18" ht="43.5" customHeight="1">
      <x:c r="A18" s="21" t="str">
        <x:v>Alta</x:v>
      </x:c>
      <x:c r="B18" s="21" t="str">
        <x:v>Dama tendencia / metalizado</x:v>
      </x:c>
      <x:c r="C18" s="21" t="str">
        <x:v>New Balance</x:v>
      </x:c>
      <x:c r="D18" s="21" t="str">
        <x:v>New Balance 204L</x:v>
      </x:c>
      <x:c r="E18" s="21" t="str">
        <x:v>White/Oxford Blue, Pink Chalk, Driftwood, Black</x:v>
      </x:c>
      <x:c r="F18" s="21" t="str">
        <x:v>Dama 35-40 / surtir 36-39</x:v>
      </x:c>
      <x:c r="G18" s="21" t="str">
        <x:v>Metalizados, runner slim y Y2K son fuertes en dama.</x:v>
      </x:c>
      <x:c r="H18" s="21" t="str">
        <x:v>https://stockx.com/about/sx-market-insights/big-facts-current-culture-index-2026/</x:v>
      </x:c>
      <x:c r="I18" s="21" t="str">
        <x:v>https://www.newbalance.com/search?q=New%20Balance%20New%20Balance%20204L</x:v>
      </x:c>
    </x:row>
    <x:row r="19" ht="43.5" customHeight="1">
      <x:c r="A19" s="21" t="str">
        <x:v>Media</x:v>
      </x:c>
      <x:c r="B19" s="21" t="str">
        <x:v>Dama tendencia / metalizado</x:v>
      </x:c>
      <x:c r="C19" s="21" t="str">
        <x:v>New Balance</x:v>
      </x:c>
      <x:c r="D19" s="21" t="str">
        <x:v>New Balance RC42</x:v>
      </x:c>
      <x:c r="E19" s="21" t="str">
        <x:v>Silver, White, Black, Cream, Red</x:v>
      </x:c>
      <x:c r="F19" s="21" t="str">
        <x:v>Dama 35-40 / surtir 36-39</x:v>
      </x:c>
      <x:c r="G19" s="21" t="str">
        <x:v>Metalizados, runner slim y Y2K son fuertes en dama.</x:v>
      </x:c>
      <x:c r="H19" s="21" t="str">
        <x:v>https://stockx.com/about/sx-market-insights/big-facts-current-culture-index-2026/</x:v>
      </x:c>
      <x:c r="I19" s="21" t="str">
        <x:v>https://www.newbalance.com/search?q=New%20Balance%20New%20Balance%20RC42</x:v>
      </x:c>
    </x:row>
    <x:row r="20" ht="43.5" customHeight="1">
      <x:c r="A20" s="21" t="str">
        <x:v>Media</x:v>
      </x:c>
      <x:c r="B20" s="21" t="str">
        <x:v>Dama tendencia / metalizado</x:v>
      </x:c>
      <x:c r="C20" s="21" t="str">
        <x:v>New Balance</x:v>
      </x:c>
      <x:c r="D20" s="21" t="str">
        <x:v>New Balance 740</x:v>
      </x:c>
      <x:c r="E20" s="21" t="str">
        <x:v>White/Blue, White/Green, Silver, Yellow, Black</x:v>
      </x:c>
      <x:c r="F20" s="21" t="str">
        <x:v>Dama 35-40 / surtir 36-39</x:v>
      </x:c>
      <x:c r="G20" s="21" t="str">
        <x:v>Metalizados, runner slim y Y2K son fuertes en dama.</x:v>
      </x:c>
      <x:c r="H20" s="21" t="str">
        <x:v>https://stockx.com/about/sx-market-insights/big-facts-current-culture-index-2026/</x:v>
      </x:c>
      <x:c r="I20" s="21" t="str">
        <x:v>https://www.newbalance.com/search?q=New%20Balance%20New%20Balance%20740</x:v>
      </x:c>
    </x:row>
    <x:row r="21" ht="43.5" customHeight="1">
      <x:c r="A21" s="21" t="str">
        <x:v>Media</x:v>
      </x:c>
      <x:c r="B21" s="21" t="str">
        <x:v>Dama tendencia / metalizado</x:v>
      </x:c>
      <x:c r="C21" s="21" t="str">
        <x:v>New Balance</x:v>
      </x:c>
      <x:c r="D21" s="21" t="str">
        <x:v>New Balance Coco CG2</x:v>
      </x:c>
      <x:c r="E21" s="21" t="str">
        <x:v>White/Green, Pink, Black, Blue, Cream</x:v>
      </x:c>
      <x:c r="F21" s="21" t="str">
        <x:v>Dama 35-40 / surtir 36-39</x:v>
      </x:c>
      <x:c r="G21" s="21" t="str">
        <x:v>Metalizados, runner slim y Y2K son fuertes en dama.</x:v>
      </x:c>
      <x:c r="H21" s="21" t="str">
        <x:v>https://stockx.com/about/sx-market-insights/big-facts-current-culture-index-2026/</x:v>
      </x:c>
      <x:c r="I21" s="21" t="str">
        <x:v>https://www.newbalance.com/search?q=New%20Balance%20New%20Balance%20Coco%20CG2</x:v>
      </x:c>
    </x:row>
    <x:row r="22" ht="43.5" customHeight="1">
      <x:c r="A22" s="21" t="str">
        <x:v>Alta</x:v>
      </x:c>
      <x:c r="B22" s="21" t="str">
        <x:v>Dama tendencia / metalizado</x:v>
      </x:c>
      <x:c r="C22" s="21" t="str">
        <x:v>ASICS</x:v>
      </x:c>
      <x:c r="D22" s="21" t="str">
        <x:v>GEL-Kayano 14</x:v>
      </x:c>
      <x:c r="E22" s="21" t="str">
        <x:v>Cream/Black, Silver, White/Blue, Birch, Pink</x:v>
      </x:c>
      <x:c r="F22" s="21" t="str">
        <x:v>Dama 35-40 / surtir 36-39</x:v>
      </x:c>
      <x:c r="G22" s="21" t="str">
        <x:v>ASICS funciona por comodidad y look fashion runner.</x:v>
      </x:c>
      <x:c r="H22" s="21" t="str">
        <x:v>https://stockx.com/about/sx-market-insights/big-facts-current-culture-index-2026/</x:v>
      </x:c>
      <x:c r="I22" s="21" t="str">
        <x:v>https://www.asics.com/us/en-us/search/?q=ASICS%20GEL-Kayano%2014</x:v>
      </x:c>
    </x:row>
    <x:row r="23" ht="43.5" customHeight="1">
      <x:c r="A23" s="21" t="str">
        <x:v>Alta</x:v>
      </x:c>
      <x:c r="B23" s="21" t="str">
        <x:v>Dama tendencia / metalizado</x:v>
      </x:c>
      <x:c r="C23" s="21" t="str">
        <x:v>ASICS</x:v>
      </x:c>
      <x:c r="D23" s="21" t="str">
        <x:v>GEL-1130</x:v>
      </x:c>
      <x:c r="E23" s="21" t="str">
        <x:v>White/Silver, Cream, Black, Pale Blue, Pink</x:v>
      </x:c>
      <x:c r="F23" s="21" t="str">
        <x:v>Dama 35-40 / surtir 36-39</x:v>
      </x:c>
      <x:c r="G23" s="21" t="str">
        <x:v>ASICS funciona por comodidad y look fashion runner.</x:v>
      </x:c>
      <x:c r="H23" s="21" t="str">
        <x:v>https://stockx.com/about/sx-market-insights/big-facts-current-culture-index-2026/</x:v>
      </x:c>
      <x:c r="I23" s="21" t="str">
        <x:v>https://www.asics.com/us/en-us/search/?q=ASICS%20GEL-1130</x:v>
      </x:c>
    </x:row>
    <x:row r="24" ht="43.5" customHeight="1">
      <x:c r="A24" s="21" t="str">
        <x:v>Alta</x:v>
      </x:c>
      <x:c r="B24" s="21" t="str">
        <x:v>Dama tendencia / metalizado</x:v>
      </x:c>
      <x:c r="C24" s="21" t="str">
        <x:v>ASICS</x:v>
      </x:c>
      <x:c r="D24" s="21" t="str">
        <x:v>GEL-NYC</x:v>
      </x:c>
      <x:c r="E24" s="21" t="str">
        <x:v>Cream/Oyster, White/Green, Grey, Blue, Black</x:v>
      </x:c>
      <x:c r="F24" s="21" t="str">
        <x:v>Dama 35-40 / surtir 36-39</x:v>
      </x:c>
      <x:c r="G24" s="21" t="str">
        <x:v>ASICS funciona por comodidad y look fashion runner.</x:v>
      </x:c>
      <x:c r="H24" s="21" t="str">
        <x:v>https://stockx.com/about/sx-market-insights/big-facts-current-culture-index-2026/</x:v>
      </x:c>
      <x:c r="I24" s="21" t="str">
        <x:v>https://www.asics.com/us/en-us/search/?q=ASICS%20GEL-NYC</x:v>
      </x:c>
    </x:row>
    <x:row r="25" ht="43.5" customHeight="1">
      <x:c r="A25" s="21" t="str">
        <x:v>Media</x:v>
      </x:c>
      <x:c r="B25" s="21" t="str">
        <x:v>Dama tendencia / metalizado</x:v>
      </x:c>
      <x:c r="C25" s="21" t="str">
        <x:v>ASICS</x:v>
      </x:c>
      <x:c r="D25" s="21" t="str">
        <x:v>GT-2160</x:v>
      </x:c>
      <x:c r="E25" s="21" t="str">
        <x:v>White/Silver, Cream, Pink, Blue, Black</x:v>
      </x:c>
      <x:c r="F25" s="21" t="str">
        <x:v>Dama 35-40 / surtir 36-39</x:v>
      </x:c>
      <x:c r="G25" s="21" t="str">
        <x:v>ASICS funciona por comodidad y look fashion runner.</x:v>
      </x:c>
      <x:c r="H25" s="21" t="str">
        <x:v>https://stockx.com/about/sx-market-insights/big-facts-current-culture-index-2026/</x:v>
      </x:c>
      <x:c r="I25" s="21" t="str">
        <x:v>https://www.asics.com/us/en-us/search/?q=ASICS%20GT-2160</x:v>
      </x:c>
    </x:row>
    <x:row r="26" ht="43.5" customHeight="1">
      <x:c r="A26" s="21" t="str">
        <x:v>Media</x:v>
      </x:c>
      <x:c r="B26" s="21" t="str">
        <x:v>Dama tendencia / metalizado</x:v>
      </x:c>
      <x:c r="C26" s="21" t="str">
        <x:v>ASICS</x:v>
      </x:c>
      <x:c r="D26" s="21" t="str">
        <x:v>GEL-Nimbus 10.1</x:v>
      </x:c>
      <x:c r="E26" s="21" t="str">
        <x:v>Silver, Cream, Blue, Black, Brown</x:v>
      </x:c>
      <x:c r="F26" s="21" t="str">
        <x:v>Dama 35-40 / surtir 36-39</x:v>
      </x:c>
      <x:c r="G26" s="21" t="str">
        <x:v>ASICS funciona por comodidad y look fashion runner.</x:v>
      </x:c>
      <x:c r="H26" s="21" t="str">
        <x:v>https://stockx.com/about/sx-market-insights/big-facts-current-culture-index-2026/</x:v>
      </x:c>
      <x:c r="I26" s="21" t="str">
        <x:v>https://www.asics.com/us/en-us/search/?q=ASICS%20GEL-Nimbus%2010.1</x:v>
      </x:c>
    </x:row>
    <x:row r="27" ht="43.5" customHeight="1">
      <x:c r="A27" s="21" t="str">
        <x:v>Alta</x:v>
      </x:c>
      <x:c r="B27" s="21" t="str">
        <x:v>Dama tendencia / lifestyle premium</x:v>
      </x:c>
      <x:c r="C27" s="21" t="str">
        <x:v>Nike</x:v>
      </x:c>
      <x:c r="D27" s="21" t="str">
        <x:v>Air Force 1 Low / Shadow</x:v>
      </x:c>
      <x:c r="E27" s="21" t="str">
        <x:v>Triple White, White/Gum, White/Pink, Sail, Black/White</x:v>
      </x:c>
      <x:c r="F27" s="21" t="str">
        <x:v>Dama 35-40 / surtir 36-39</x:v>
      </x:c>
      <x:c r="G27" s="21" t="str">
        <x:v>Blancos, plataformas y runner silver tienen mucha salida.</x:v>
      </x:c>
      <x:c r="H27" s="21" t="str">
        <x:v>https://stockx.com/about/sx-market-insights/big-facts-current-culture-index-2026/</x:v>
      </x:c>
      <x:c r="I27" s="21" t="str">
        <x:v>https://www.nike.com/w?q=Nike%20Air%20Force%201%20Low%20%2F%20Shadow</x:v>
      </x:c>
    </x:row>
    <x:row r="28" ht="43.5" customHeight="1">
      <x:c r="A28" s="21" t="str">
        <x:v>Alta</x:v>
      </x:c>
      <x:c r="B28" s="21" t="str">
        <x:v>Dama tendencia / lifestyle premium</x:v>
      </x:c>
      <x:c r="C28" s="21" t="str">
        <x:v>Nike</x:v>
      </x:c>
      <x:c r="D28" s="21" t="str">
        <x:v>Dunk Low</x:v>
      </x:c>
      <x:c r="E28" s="21" t="str">
        <x:v>Panda, Cacao Wow, Grey Fog, Pink Oxford, University Blue</x:v>
      </x:c>
      <x:c r="F28" s="21" t="str">
        <x:v>Dama 35-40 / surtir 36-39</x:v>
      </x:c>
      <x:c r="G28" s="21" t="str">
        <x:v>Blancos, plataformas y runner silver tienen mucha salida.</x:v>
      </x:c>
      <x:c r="H28" s="21" t="str">
        <x:v>https://stockx.com/about/sx-market-insights/big-facts-current-culture-index-2026/</x:v>
      </x:c>
      <x:c r="I28" s="21" t="str">
        <x:v>https://www.nike.com/w?q=Nike%20Dunk%20Low</x:v>
      </x:c>
    </x:row>
    <x:row r="29" ht="43.5" customHeight="1">
      <x:c r="A29" s="21" t="str">
        <x:v>Alta</x:v>
      </x:c>
      <x:c r="B29" s="21" t="str">
        <x:v>Dama tendencia / lifestyle premium</x:v>
      </x:c>
      <x:c r="C29" s="21" t="str">
        <x:v>Nike</x:v>
      </x:c>
      <x:c r="D29" s="21" t="str">
        <x:v>P-6000</x:v>
      </x:c>
      <x:c r="E29" s="21" t="str">
        <x:v>Metallic Silver, White/Black, Pink, Platinum, Black</x:v>
      </x:c>
      <x:c r="F29" s="21" t="str">
        <x:v>Dama 35-40 / surtir 36-39</x:v>
      </x:c>
      <x:c r="G29" s="21" t="str">
        <x:v>Blancos, plataformas y runner silver tienen mucha salida.</x:v>
      </x:c>
      <x:c r="H29" s="21" t="str">
        <x:v>https://stockx.com/about/sx-market-insights/big-facts-current-culture-index-2026/</x:v>
      </x:c>
      <x:c r="I29" s="21" t="str">
        <x:v>https://www.nike.com/w?q=Nike%20P-6000</x:v>
      </x:c>
    </x:row>
    <x:row r="30" ht="43.5" customHeight="1">
      <x:c r="A30" s="21" t="str">
        <x:v>Alta</x:v>
      </x:c>
      <x:c r="B30" s="21" t="str">
        <x:v>Dama tendencia / lifestyle premium</x:v>
      </x:c>
      <x:c r="C30" s="21" t="str">
        <x:v>Nike</x:v>
      </x:c>
      <x:c r="D30" s="21" t="str">
        <x:v>Vomero 5</x:v>
      </x:c>
      <x:c r="E30" s="21" t="str">
        <x:v>Photon Dust, Pink Foam, Metallic Silver, Light Orewood, Black</x:v>
      </x:c>
      <x:c r="F30" s="21" t="str">
        <x:v>Dama 35-40 / surtir 36-39</x:v>
      </x:c>
      <x:c r="G30" s="21" t="str">
        <x:v>Blancos, plataformas y runner silver tienen mucha salida.</x:v>
      </x:c>
      <x:c r="H30" s="21" t="str">
        <x:v>https://stockx.com/about/sx-market-insights/big-facts-current-culture-index-2026/</x:v>
      </x:c>
      <x:c r="I30" s="21" t="str">
        <x:v>https://www.nike.com/w?q=Nike%20Vomero%205</x:v>
      </x:c>
    </x:row>
    <x:row r="31" ht="43.5" customHeight="1">
      <x:c r="A31" s="21" t="str">
        <x:v>Media</x:v>
      </x:c>
      <x:c r="B31" s="21" t="str">
        <x:v>Dama tendencia / lifestyle premium</x:v>
      </x:c>
      <x:c r="C31" s="21" t="str">
        <x:v>Nike</x:v>
      </x:c>
      <x:c r="D31" s="21" t="str">
        <x:v>Cortez</x:v>
      </x:c>
      <x:c r="E31" s="21" t="str">
        <x:v>White/Red/Blue, Black/White, Pink, Yellow, Nylon Blue</x:v>
      </x:c>
      <x:c r="F31" s="21" t="str">
        <x:v>Dama 35-40 / surtir 36-39</x:v>
      </x:c>
      <x:c r="G31" s="21" t="str">
        <x:v>Blancos, plataformas y runner silver tienen mucha salida.</x:v>
      </x:c>
      <x:c r="H31" s="21" t="str">
        <x:v>https://stockx.com/about/sx-market-insights/big-facts-current-culture-index-2026/</x:v>
      </x:c>
      <x:c r="I31" s="21" t="str">
        <x:v>https://www.nike.com/w?q=Nike%20Cortez</x:v>
      </x:c>
    </x:row>
    <x:row r="32" ht="43.5" customHeight="1">
      <x:c r="A32" s="21" t="str">
        <x:v>Media</x:v>
      </x:c>
      <x:c r="B32" s="21" t="str">
        <x:v>Dama tendencia / lifestyle premium</x:v>
      </x:c>
      <x:c r="C32" s="21" t="str">
        <x:v>Nike</x:v>
      </x:c>
      <x:c r="D32" s="21" t="str">
        <x:v>Shox R4/TL</x:v>
      </x:c>
      <x:c r="E32" s="21" t="str">
        <x:v>Silver, White, Black, Red, Orange</x:v>
      </x:c>
      <x:c r="F32" s="21" t="str">
        <x:v>Dama 35-40 / surtir 36-39</x:v>
      </x:c>
      <x:c r="G32" s="21" t="str">
        <x:v>Blancos, plataformas y runner silver tienen mucha salida.</x:v>
      </x:c>
      <x:c r="H32" s="21" t="str">
        <x:v>https://stockx.com/about/sx-market-insights/big-facts-current-culture-index-2026/</x:v>
      </x:c>
      <x:c r="I32" s="21" t="str">
        <x:v>https://www.nike.com/w?q=Nike%20Shox%20R4%2FTL</x:v>
      </x:c>
    </x:row>
    <x:row r="33" ht="43.5" customHeight="1">
      <x:c r="A33" s="21" t="str">
        <x:v>Alta</x:v>
      </x:c>
      <x:c r="B33" s="21" t="str">
        <x:v>Dama tendencia / lifestyle premium</x:v>
      </x:c>
      <x:c r="C33" s="21" t="str">
        <x:v>Nike</x:v>
      </x:c>
      <x:c r="D33" s="21" t="str">
        <x:v>Sabrina 3</x:v>
      </x:c>
      <x:c r="E33" s="21" t="str">
        <x:v>Ivory/Black, Pink, Light Blue, Lavender, University Red</x:v>
      </x:c>
      <x:c r="F33" s="21" t="str">
        <x:v>Dama 35-40 / surtir 36-39</x:v>
      </x:c>
      <x:c r="G33" s="21" t="str">
        <x:v>Blancos, plataformas y runner silver tienen mucha salida.</x:v>
      </x:c>
      <x:c r="H33" s="21" t="str">
        <x:v>https://stockx.com/about/sx-market-insights/big-facts-current-culture-index-2026/</x:v>
      </x:c>
      <x:c r="I33" s="21" t="str">
        <x:v>https://www.nike.com/w?q=Nike%20Sabrina%203</x:v>
      </x:c>
    </x:row>
    <x:row r="34" ht="43.5" customHeight="1">
      <x:c r="A34" s="21" t="str">
        <x:v>Alta</x:v>
      </x:c>
      <x:c r="B34" s="21" t="str">
        <x:v>Dama tendencia / lifestyle premium</x:v>
      </x:c>
      <x:c r="C34" s="21" t="str">
        <x:v>Nike</x:v>
      </x:c>
      <x:c r="D34" s="21" t="str">
        <x:v>A'ja Wilson A'One</x:v>
      </x:c>
      <x:c r="E34" s="21" t="str">
        <x:v>Cream/Black, Pink, Silver, Burgundy, White/Green</x:v>
      </x:c>
      <x:c r="F34" s="21" t="str">
        <x:v>Dama 35-40 / surtir 36-39</x:v>
      </x:c>
      <x:c r="G34" s="21" t="str">
        <x:v>Blancos, plataformas y runner silver tienen mucha salida.</x:v>
      </x:c>
      <x:c r="H34" s="21" t="str">
        <x:v>https://stockx.com/about/sx-market-insights/big-facts-current-culture-index-2026/</x:v>
      </x:c>
      <x:c r="I34" s="21" t="str">
        <x:v>https://www.nike.com/w?q=Nike%20A'ja%20Wilson%20A'One</x:v>
      </x:c>
    </x:row>
    <x:row r="35" ht="43.5" customHeight="1">
      <x:c r="A35" s="21" t="str">
        <x:v>Prueba</x:v>
      </x:c>
      <x:c r="B35" s="21" t="str">
        <x:v>Dama tendencia / lifestyle premium</x:v>
      </x:c>
      <x:c r="C35" s="21" t="str">
        <x:v>Nike</x:v>
      </x:c>
      <x:c r="D35" s="21" t="str">
        <x:v>Jacquemus x Nike Moon / J Force</x:v>
      </x:c>
      <x:c r="E35" s="21" t="str">
        <x:v>White, Black, Silver, Red, Brown</x:v>
      </x:c>
      <x:c r="F35" s="21" t="str">
        <x:v>Dama 35-40 / surtir 36-39</x:v>
      </x:c>
      <x:c r="G35" s="21" t="str">
        <x:v>Blancos, plataformas y runner silver tienen mucha salida.</x:v>
      </x:c>
      <x:c r="H35" s="21" t="str">
        <x:v>https://stockx.com/about/sx-market-insights/big-facts-current-culture-index-2026/</x:v>
      </x:c>
      <x:c r="I35" s="21" t="str">
        <x:v>https://www.nike.com/w?q=Nike%20Jacquemus%20x%20Nike%20Moon%20%2F%20J%20Force</x:v>
      </x:c>
    </x:row>
    <x:row r="36" ht="43.5" customHeight="1">
      <x:c r="A36" s="21" t="str">
        <x:v>Alta</x:v>
      </x:c>
      <x:c r="B36" s="21" t="str">
        <x:v>Dama tendencia / outdoor-fashion</x:v>
      </x:c>
      <x:c r="C36" s="21" t="str">
        <x:v>On</x:v>
      </x:c>
      <x:c r="D36" s="21" t="str">
        <x:v>Cloud 6</x:v>
      </x:c>
      <x:c r="E36" s="21" t="str">
        <x:v>All White, Black/White, Pearl, Navy, Fog</x:v>
      </x:c>
      <x:c r="F36" s="21" t="str">
        <x:v>Dama 35-40 / surtir 36-39</x:v>
      </x:c>
      <x:c r="G36" s="21" t="str">
        <x:v>Limpios, comodos y faciles para outfits de diario.</x:v>
      </x:c>
      <x:c r="H36" s="21" t="str">
        <x:v>https://www.whowhatwear.com/fashion/summer/summer-sneaker-trends-2026</x:v>
      </x:c>
      <x:c r="I36" s="21" t="str">
        <x:v>https://www.on.com/en-us/search?q=On%20Cloud%206</x:v>
      </x:c>
    </x:row>
    <x:row r="37" ht="43.5" customHeight="1">
      <x:c r="A37" s="21" t="str">
        <x:v>Alta</x:v>
      </x:c>
      <x:c r="B37" s="21" t="str">
        <x:v>Dama tendencia / outdoor-fashion</x:v>
      </x:c>
      <x:c r="C37" s="21" t="str">
        <x:v>On</x:v>
      </x:c>
      <x:c r="D37" s="21" t="str">
        <x:v>Cloudmonster 2</x:v>
      </x:c>
      <x:c r="E37" s="21" t="str">
        <x:v>All White, Cream, Glacier, Black, Blue</x:v>
      </x:c>
      <x:c r="F37" s="21" t="str">
        <x:v>Dama 35-40 / surtir 36-39</x:v>
      </x:c>
      <x:c r="G37" s="21" t="str">
        <x:v>Limpios, comodos y faciles para outfits de diario.</x:v>
      </x:c>
      <x:c r="H37" s="21" t="str">
        <x:v>https://www.whowhatwear.com/fashion/summer/summer-sneaker-trends-2026</x:v>
      </x:c>
      <x:c r="I37" s="21" t="str">
        <x:v>https://www.on.com/en-us/search?q=On%20Cloudmonster%202</x:v>
      </x:c>
    </x:row>
    <x:row r="38" ht="43.5" customHeight="1">
      <x:c r="A38" s="21" t="str">
        <x:v>Alta</x:v>
      </x:c>
      <x:c r="B38" s="21" t="str">
        <x:v>Dama tendencia / outdoor-fashion</x:v>
      </x:c>
      <x:c r="C38" s="21" t="str">
        <x:v>On</x:v>
      </x:c>
      <x:c r="D38" s="21" t="str">
        <x:v>Cloudsurfer</x:v>
      </x:c>
      <x:c r="E38" s="21" t="str">
        <x:v>Pearl/Ivory, White/Black, Glacier Grey, Blue, Black</x:v>
      </x:c>
      <x:c r="F38" s="21" t="str">
        <x:v>Dama 35-40 / surtir 36-39</x:v>
      </x:c>
      <x:c r="G38" s="21" t="str">
        <x:v>Limpios, comodos y faciles para outfits de diario.</x:v>
      </x:c>
      <x:c r="H38" s="21" t="str">
        <x:v>https://www.whowhatwear.com/fashion/summer/summer-sneaker-trends-2026</x:v>
      </x:c>
      <x:c r="I38" s="21" t="str">
        <x:v>https://www.on.com/en-us/search?q=On%20Cloudsurfer</x:v>
      </x:c>
    </x:row>
    <x:row r="39" ht="43.5" customHeight="1">
      <x:c r="A39" s="21" t="str">
        <x:v>Alta</x:v>
      </x:c>
      <x:c r="B39" s="21" t="str">
        <x:v>Dama tendencia / outdoor-fashion</x:v>
      </x:c>
      <x:c r="C39" s="21" t="str">
        <x:v>On</x:v>
      </x:c>
      <x:c r="D39" s="21" t="str">
        <x:v>Cloudtilt / Loewe x On</x:v>
      </x:c>
      <x:c r="E39" s="21" t="str">
        <x:v>White, Sand, Green, All Black, Grey</x:v>
      </x:c>
      <x:c r="F39" s="21" t="str">
        <x:v>Dama 35-40 / surtir 36-39</x:v>
      </x:c>
      <x:c r="G39" s="21" t="str">
        <x:v>Limpios, comodos y faciles para outfits de diario.</x:v>
      </x:c>
      <x:c r="H39" s="21" t="str">
        <x:v>https://www.whowhatwear.com/fashion/summer/summer-sneaker-trends-2026</x:v>
      </x:c>
      <x:c r="I39" s="21" t="str">
        <x:v>https://www.on.com/en-us/search?q=On%20Cloudtilt%20%2F%20Loewe%20x%20On</x:v>
      </x:c>
    </x:row>
    <x:row r="40" ht="43.5" customHeight="1">
      <x:c r="A40" s="21" t="str">
        <x:v>Media</x:v>
      </x:c>
      <x:c r="B40" s="21" t="str">
        <x:v>Dama tendencia / outdoor-fashion</x:v>
      </x:c>
      <x:c r="C40" s="21" t="str">
        <x:v>On</x:v>
      </x:c>
      <x:c r="D40" s="21" t="str">
        <x:v>The Roger</x:v>
      </x:c>
      <x:c r="E40" s="21" t="str">
        <x:v>White/Gum, White/Navy, Cream, Black, Pink</x:v>
      </x:c>
      <x:c r="F40" s="21" t="str">
        <x:v>Dama 35-40 / surtir 36-39</x:v>
      </x:c>
      <x:c r="G40" s="21" t="str">
        <x:v>Limpios, comodos y faciles para outfits de diario.</x:v>
      </x:c>
      <x:c r="H40" s="21" t="str">
        <x:v>https://www.whowhatwear.com/fashion/summer/summer-sneaker-trends-2026</x:v>
      </x:c>
      <x:c r="I40" s="21" t="str">
        <x:v>https://www.on.com/en-us/search?q=On%20The%20Roger</x:v>
      </x:c>
    </x:row>
    <x:row r="41" ht="43.5" customHeight="1">
      <x:c r="A41" s="21" t="str">
        <x:v>Alta</x:v>
      </x:c>
      <x:c r="B41" s="21" t="str">
        <x:v>Dama tendencia / casual</x:v>
      </x:c>
      <x:c r="C41" s="21" t="str">
        <x:v>PUMA</x:v>
      </x:c>
      <x:c r="D41" s="21" t="str">
        <x:v>Speedcat OG</x:v>
      </x:c>
      <x:c r="E41" s="21" t="str">
        <x:v>Red/White, Black/White, Brown, Pink, Silver</x:v>
      </x:c>
      <x:c r="F41" s="21" t="str">
        <x:v>Dama 35-40 / surtir 36-39</x:v>
      </x:c>
      <x:c r="G41" s="21" t="str">
        <x:v>Speedcat y bajos de futbol se ven muy actuales.</x:v>
      </x:c>
      <x:c r="H41" s="21" t="str">
        <x:v>https://www.whowhatwear.com/fashion/summer/summer-sneaker-trends-2026</x:v>
      </x:c>
      <x:c r="I41" s="21" t="str">
        <x:v>https://us.puma.com/us/en/search?q=PUMA%20Speedcat%20OG</x:v>
      </x:c>
    </x:row>
    <x:row r="42" ht="43.5" customHeight="1">
      <x:c r="A42" s="21" t="str">
        <x:v>Media</x:v>
      </x:c>
      <x:c r="B42" s="21" t="str">
        <x:v>Dama tendencia / casual</x:v>
      </x:c>
      <x:c r="C42" s="21" t="str">
        <x:v>PUMA</x:v>
      </x:c>
      <x:c r="D42" s="21" t="str">
        <x:v>Palermo</x:v>
      </x:c>
      <x:c r="E42" s="21" t="str">
        <x:v>Green/Gum, Blue/Gum, Pink, Red, Cream</x:v>
      </x:c>
      <x:c r="F42" s="21" t="str">
        <x:v>Dama 35-40 / surtir 36-39</x:v>
      </x:c>
      <x:c r="G42" s="21" t="str">
        <x:v>Speedcat y bajos de futbol se ven muy actuales.</x:v>
      </x:c>
      <x:c r="H42" s="21" t="str">
        <x:v>https://www.whowhatwear.com/fashion/summer/summer-sneaker-trends-2026</x:v>
      </x:c>
      <x:c r="I42" s="21" t="str">
        <x:v>https://us.puma.com/us/en/search?q=PUMA%20Palermo</x:v>
      </x:c>
    </x:row>
    <x:row r="43" ht="43.5" customHeight="1">
      <x:c r="A43" s="21" t="str">
        <x:v>Prueba</x:v>
      </x:c>
      <x:c r="B43" s="21" t="str">
        <x:v>Dama tendencia / casual</x:v>
      </x:c>
      <x:c r="C43" s="21" t="str">
        <x:v>PUMA</x:v>
      </x:c>
      <x:c r="D43" s="21" t="str">
        <x:v>Mostro</x:v>
      </x:c>
      <x:c r="E43" s="21" t="str">
        <x:v>Silver, Black, Yellow, Red, White</x:v>
      </x:c>
      <x:c r="F43" s="21" t="str">
        <x:v>Dama 35-40 / surtir 36-39</x:v>
      </x:c>
      <x:c r="G43" s="21" t="str">
        <x:v>Speedcat y bajos de futbol se ven muy actuales.</x:v>
      </x:c>
      <x:c r="H43" s="21" t="str">
        <x:v>https://www.whowhatwear.com/fashion/summer/summer-sneaker-trends-2026</x:v>
      </x:c>
      <x:c r="I43" s="21" t="str">
        <x:v>https://us.puma.com/us/en/search?q=PUMA%20Mostro</x:v>
      </x:c>
    </x:row>
    <x:row r="44" ht="43.5" customHeight="1">
      <x:c r="A44" s="21" t="str">
        <x:v>Media</x:v>
      </x:c>
      <x:c r="B44" s="21" t="str">
        <x:v>Dama tendencia / casual</x:v>
      </x:c>
      <x:c r="C44" s="21" t="str">
        <x:v>PUMA</x:v>
      </x:c>
      <x:c r="D44" s="21" t="str">
        <x:v>Suede XL</x:v>
      </x:c>
      <x:c r="E44" s="21" t="str">
        <x:v>Pink, Black/White, Green, Navy, Beige</x:v>
      </x:c>
      <x:c r="F44" s="21" t="str">
        <x:v>Dama 35-40 / surtir 36-39</x:v>
      </x:c>
      <x:c r="G44" s="21" t="str">
        <x:v>Speedcat y bajos de futbol se ven muy actuales.</x:v>
      </x:c>
      <x:c r="H44" s="21" t="str">
        <x:v>https://www.whowhatwear.com/fashion/summer/summer-sneaker-trends-2026</x:v>
      </x:c>
      <x:c r="I44" s="21" t="str">
        <x:v>https://us.puma.com/us/en/search?q=PUMA%20Suede%20XL</x:v>
      </x:c>
    </x:row>
    <x:row r="45" ht="43.5" customHeight="1">
      <x:c r="A45" s="21" t="str">
        <x:v>Alta</x:v>
      </x:c>
      <x:c r="B45" s="21" t="str">
        <x:v>Dama tendencia / casual</x:v>
      </x:c>
      <x:c r="C45" s="21" t="str">
        <x:v>Vans</x:v>
      </x:c>
      <x:c r="D45" s="21" t="str">
        <x:v>Old Skool 36</x:v>
      </x:c>
      <x:c r="E45" s="21" t="str">
        <x:v>Black/White, Gum, Navy, Checkerboard, Leopard</x:v>
      </x:c>
      <x:c r="F45" s="21" t="str">
        <x:v>Dama 35-40 / surtir 36-39</x:v>
      </x:c>
      <x:c r="G45" s="21" t="str">
        <x:v>Skate, checkerboard y minimalismo blanco/negro.</x:v>
      </x:c>
      <x:c r="H45" s="21" t="str">
        <x:v>https://www.whowhatwear.com/fashion/summer/summer-sneaker-trends-2026</x:v>
      </x:c>
      <x:c r="I45" s="21" t="str">
        <x:v>https://www.vans.com/en-us/search/product?q=Vans%20Old%20Skool%2036</x:v>
      </x:c>
    </x:row>
    <x:row r="46" ht="43.5" customHeight="1">
      <x:c r="A46" s="21" t="str">
        <x:v>Media</x:v>
      </x:c>
      <x:c r="B46" s="21" t="str">
        <x:v>Dama tendencia / casual</x:v>
      </x:c>
      <x:c r="C46" s="21" t="str">
        <x:v>Vans</x:v>
      </x:c>
      <x:c r="D46" s="21" t="str">
        <x:v>Slip-On Classic</x:v>
      </x:c>
      <x:c r="E46" s="21" t="str">
        <x:v>Checkerboard, Black, White, Leopard, Red</x:v>
      </x:c>
      <x:c r="F46" s="21" t="str">
        <x:v>Dama 35-40 / surtir 36-39</x:v>
      </x:c>
      <x:c r="G46" s="21" t="str">
        <x:v>Skate, checkerboard y minimalismo blanco/negro.</x:v>
      </x:c>
      <x:c r="H46" s="21" t="str">
        <x:v>https://www.whowhatwear.com/fashion/summer/summer-sneaker-trends-2026</x:v>
      </x:c>
      <x:c r="I46" s="21" t="str">
        <x:v>https://www.vans.com/en-us/search/product?q=Vans%20Slip-On%20Classic</x:v>
      </x:c>
    </x:row>
    <x:row r="47" ht="43.5" customHeight="1">
      <x:c r="A47" s="21" t="str">
        <x:v>Media</x:v>
      </x:c>
      <x:c r="B47" s="21" t="str">
        <x:v>Dama tendencia / casual</x:v>
      </x:c>
      <x:c r="C47" s="21" t="str">
        <x:v>Vans</x:v>
      </x:c>
      <x:c r="D47" s="21" t="str">
        <x:v>Mary Jane / Sport Low</x:v>
      </x:c>
      <x:c r="E47" s="21" t="str">
        <x:v>Black, White, Red, Silver, Leopard</x:v>
      </x:c>
      <x:c r="F47" s="21" t="str">
        <x:v>Dama 35-40 / surtir 36-39</x:v>
      </x:c>
      <x:c r="G47" s="21" t="str">
        <x:v>Skate, checkerboard y minimalismo blanco/negro.</x:v>
      </x:c>
      <x:c r="H47" s="21" t="str">
        <x:v>https://www.whowhatwear.com/fashion/summer/summer-sneaker-trends-2026</x:v>
      </x:c>
      <x:c r="I47" s="21" t="str">
        <x:v>https://www.vans.com/en-us/search/product?q=Vans%20Mary%20Jane%20%2F%20Sport%20Low</x:v>
      </x:c>
    </x:row>
    <x:row r="48" ht="43.5" customHeight="1">
      <x:c r="A48" s="21" t="str">
        <x:v>Prueba</x:v>
      </x:c>
      <x:c r="B48" s="21" t="str">
        <x:v>Dama tendencia / casual</x:v>
      </x:c>
      <x:c r="C48" s="21" t="str">
        <x:v>Vans</x:v>
      </x:c>
      <x:c r="D48" s="21" t="str">
        <x:v>Knu Skool</x:v>
      </x:c>
      <x:c r="E48" s="21" t="str">
        <x:v>Black/White, Pink, Brown, Checkerboard, Navy</x:v>
      </x:c>
      <x:c r="F48" s="21" t="str">
        <x:v>Dama 35-40 / surtir 36-39</x:v>
      </x:c>
      <x:c r="G48" s="21" t="str">
        <x:v>Skate, checkerboard y minimalismo blanco/negro.</x:v>
      </x:c>
      <x:c r="H48" s="21" t="str">
        <x:v>https://www.whowhatwear.com/fashion/summer/summer-sneaker-trends-2026</x:v>
      </x:c>
      <x:c r="I48" s="21" t="str">
        <x:v>https://www.vans.com/en-us/search/product?q=Vans%20Knu%20Skool</x:v>
      </x:c>
    </x:row>
    <x:row r="49" ht="43.5" customHeight="1">
      <x:c r="A49" s="21" t="str">
        <x:v>Alta</x:v>
      </x:c>
      <x:c r="B49" s="21" t="str">
        <x:v>Dama tendencia / casual</x:v>
      </x:c>
      <x:c r="C49" s="21" t="str">
        <x:v>Converse</x:v>
      </x:c>
      <x:c r="D49" s="21" t="str">
        <x:v>Chuck Taylor All Star High</x:v>
      </x:c>
      <x:c r="E49" s="21" t="str">
        <x:v>Black, Optical White, Red, Navy, Cream</x:v>
      </x:c>
      <x:c r="F49" s="21" t="str">
        <x:v>Dama 35-40 / surtir 36-39</x:v>
      </x:c>
      <x:c r="G49" s="21" t="str">
        <x:v>High-top y plataforma siguen buenos para regalo.</x:v>
      </x:c>
      <x:c r="H49" s="21" t="str">
        <x:v>https://www.whowhatwear.com/fashion/summer/summer-sneaker-trends-2026</x:v>
      </x:c>
      <x:c r="I49" s="21" t="str">
        <x:v>https://www.converse.com/search?q=Converse%20Chuck%20Taylor%20All%20Star%20High</x:v>
      </x:c>
    </x:row>
    <x:row r="50" ht="43.5" customHeight="1">
      <x:c r="A50" s="21" t="str">
        <x:v>Alta</x:v>
      </x:c>
      <x:c r="B50" s="21" t="str">
        <x:v>Dama tendencia / casual</x:v>
      </x:c>
      <x:c r="C50" s="21" t="str">
        <x:v>Converse</x:v>
      </x:c>
      <x:c r="D50" s="21" t="str">
        <x:v>Chuck 70 High</x:v>
      </x:c>
      <x:c r="E50" s="21" t="str">
        <x:v>Black, Parchment, Egret, Burgundy, Brown</x:v>
      </x:c>
      <x:c r="F50" s="21" t="str">
        <x:v>Dama 35-40 / surtir 36-39</x:v>
      </x:c>
      <x:c r="G50" s="21" t="str">
        <x:v>High-top y plataforma siguen buenos para regalo.</x:v>
      </x:c>
      <x:c r="H50" s="21" t="str">
        <x:v>https://www.whowhatwear.com/fashion/summer/summer-sneaker-trends-2026</x:v>
      </x:c>
      <x:c r="I50" s="21" t="str">
        <x:v>https://www.converse.com/search?q=Converse%20Chuck%2070%20High</x:v>
      </x:c>
    </x:row>
    <x:row r="51" ht="43.5" customHeight="1">
      <x:c r="A51" s="21" t="str">
        <x:v>Media</x:v>
      </x:c>
      <x:c r="B51" s="21" t="str">
        <x:v>Dama tendencia / casual</x:v>
      </x:c>
      <x:c r="C51" s="21" t="str">
        <x:v>Converse</x:v>
      </x:c>
      <x:c r="D51" s="21" t="str">
        <x:v>Run Star Hike / Legacy CX</x:v>
      </x:c>
      <x:c r="E51" s="21" t="str">
        <x:v>Black, White, Platform Cream, Pink, Red</x:v>
      </x:c>
      <x:c r="F51" s="21" t="str">
        <x:v>Dama 35-40 / surtir 36-39</x:v>
      </x:c>
      <x:c r="G51" s="21" t="str">
        <x:v>High-top y plataforma siguen buenos para regalo.</x:v>
      </x:c>
      <x:c r="H51" s="21" t="str">
        <x:v>https://www.whowhatwear.com/fashion/summer/summer-sneaker-trends-2026</x:v>
      </x:c>
      <x:c r="I51" s="21" t="str">
        <x:v>https://www.converse.com/search?q=Converse%20Run%20Star%20Hike%20%2F%20Legacy%20CX</x:v>
      </x:c>
    </x:row>
    <x:row r="52" ht="43.5" customHeight="1">
      <x:c r="A52" s="21" t="str">
        <x:v>Media</x:v>
      </x:c>
      <x:c r="B52" s="21" t="str">
        <x:v>Dama tendencia / casual</x:v>
      </x:c>
      <x:c r="C52" s="21" t="str">
        <x:v>Converse</x:v>
      </x:c>
      <x:c r="D52" s="21" t="str">
        <x:v>Chuck Taylor Lift Platform</x:v>
      </x:c>
      <x:c r="E52" s="21" t="str">
        <x:v>White, Black, Pink, Cream, Glitter/Silver</x:v>
      </x:c>
      <x:c r="F52" s="21" t="str">
        <x:v>Dama 35-40 / surtir 36-39</x:v>
      </x:c>
      <x:c r="G52" s="21" t="str">
        <x:v>High-top y plataforma siguen buenos para regalo.</x:v>
      </x:c>
      <x:c r="H52" s="21" t="str">
        <x:v>https://www.whowhatwear.com/fashion/summer/summer-sneaker-trends-2026</x:v>
      </x:c>
      <x:c r="I52" s="21" t="str">
        <x:v>https://www.converse.com/search?q=Converse%20Chuck%20Taylor%20Lift%20Platform</x:v>
      </x:c>
    </x:row>
    <x:row r="53" ht="43.5" customHeight="1">
      <x:c r="A53" s="22" t="str">
        <x:v>Prueba</x:v>
      </x:c>
      <x:c r="B53" s="22" t="str">
        <x:v>Dama tendencia / casual</x:v>
      </x:c>
      <x:c r="C53" s="22" t="str">
        <x:v>Converse</x:v>
      </x:c>
      <x:c r="D53" s="22" t="str">
        <x:v>One Star</x:v>
      </x:c>
      <x:c r="E53" s="22" t="str">
        <x:v>Black, Brown Suede, Navy, Green, Pink</x:v>
      </x:c>
      <x:c r="F53" s="22" t="str">
        <x:v>Dama 35-40 / surtir 36-39</x:v>
      </x:c>
      <x:c r="G53" s="22" t="str">
        <x:v>High-top y plataforma siguen buenos para regalo.</x:v>
      </x:c>
      <x:c r="H53" s="22" t="str">
        <x:v>https://www.whowhatwear.com/fashion/summer/summer-sneaker-trends-2026</x:v>
      </x:c>
      <x:c r="I53" s="22" t="str">
        <x:v>https://www.converse.com/search?q=Converse%20One%20Star</x:v>
      </x:c>
    </x:row>
  </x:sheetData>
  <x:mergeCells>
    <x:mergeCell ref="A1:I1"/>
    <x:mergeCell ref="A2:I2"/>
  </x:mergeCells>
  <x:conditionalFormatting sqref="A6:A53">
    <x:cfRule type="containsText" dxfId="6" priority="1" operator="containsText" text="Alta"/>
    <x:cfRule type="containsText" dxfId="7" priority="2" operator="containsText" text="Media"/>
    <x:cfRule type="containsText" dxfId="8" priority="3" operator="containsText" text="Prueba"/>
  </x:conditionalFormatting>
  <x:pageMargins left="0.7" right="0.7" top="0.75" bottom="0.75" header="0.3" footer="0.3"/>
  <x:tableParts count="1">
    <x:tablePart xmlns:r="http://schemas.openxmlformats.org/officeDocument/2006/relationships" r:id="Rf3a37fbd7db14f8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23.75" hidden="0" customWidth="1"/>
    <x:col min="3" max="3" width="11.880000114440918" hidden="0" customWidth="1"/>
    <x:col min="4" max="4" width="28.1299991607666" hidden="0" customWidth="1"/>
    <x:col min="5" max="5" width="45" hidden="0" customWidth="1"/>
    <x:col min="6" max="6" width="23.75" hidden="0" customWidth="1"/>
    <x:col min="7" max="7" width="37.5" hidden="0" customWidth="1"/>
    <x:col min="8" max="8" width="37.5" hidden="0" customWidth="1"/>
    <x:col min="9" max="9" width="37.5" hidden="0" customWidth="1"/>
  </x:cols>
  <x:sheetData>
    <x:row r="1">
      <x:c r="A1" s="16" t="str">
        <x:v>Machete Nino</x:v>
      </x:c>
      <x:c r="B1" s="17"/>
      <x:c r="C1" s="17"/>
      <x:c r="D1" s="17"/>
      <x:c r="E1" s="17"/>
      <x:c r="F1" s="17"/>
      <x:c r="G1" s="17"/>
      <x:c r="H1" s="17"/>
      <x:c r="I1" s="17"/>
    </x:row>
    <x:row r="2">
      <x:c r="A2" s="18" t="str">
        <x:v>Misma base filtrada por cliente objetivo.</x:v>
      </x:c>
      <x:c r="B2" s="17"/>
      <x:c r="C2" s="17"/>
      <x:c r="D2" s="17"/>
      <x:c r="E2" s="17"/>
      <x:c r="F2" s="17"/>
      <x:c r="G2" s="17"/>
      <x:c r="H2" s="17"/>
      <x:c r="I2" s="17"/>
    </x:row>
    <x:row r="3">
      <x:c r="A3" s="17"/>
      <x:c r="B3" s="17"/>
      <x:c r="C3" s="17"/>
      <x:c r="D3" s="17"/>
      <x:c r="E3" s="17"/>
      <x:c r="F3" s="17"/>
      <x:c r="G3" s="17"/>
      <x:c r="H3" s="17"/>
      <x:c r="I3" s="17"/>
    </x:row>
    <x:row r="4">
      <x:c r="A4" s="17"/>
      <x:c r="B4" s="17"/>
      <x:c r="C4" s="17"/>
      <x:c r="D4" s="17"/>
      <x:c r="E4" s="17"/>
      <x:c r="F4" s="17"/>
      <x:c r="G4" s="17"/>
      <x:c r="H4" s="17"/>
      <x:c r="I4" s="17"/>
    </x:row>
    <x:row r="5">
      <x:c r="A5" s="19" t="str">
        <x:v>Prioridad</x:v>
      </x:c>
      <x:c r="B5" s="19" t="str">
        <x:v>Segmento</x:v>
      </x:c>
      <x:c r="C5" s="19" t="str">
        <x:v>Marca</x:v>
      </x:c>
      <x:c r="D5" s="19" t="str">
        <x:v>Referencia / modelo</x:v>
      </x:c>
      <x:c r="E5" s="19" t="str">
        <x:v>Colores recomendados</x:v>
      </x:c>
      <x:c r="F5" s="19" t="str">
        <x:v>Talla objetivo</x:v>
      </x:c>
      <x:c r="G5" s="19" t="str">
        <x:v>Por que pedirla</x:v>
      </x:c>
      <x:c r="H5" s="19" t="str">
        <x:v>Fuente tendencia</x:v>
      </x:c>
      <x:c r="I5" s="19" t="str">
        <x:v>Busqueda oficial</x:v>
      </x:c>
    </x:row>
    <x:row r="6" ht="43.5" customHeight="1">
      <x:c r="A6" s="20" t="str">
        <x:v>Alta</x:v>
      </x:c>
      <x:c r="B6" s="20" t="str">
        <x:v>Back-to-school / full family</x:v>
      </x:c>
      <x:c r="C6" s="20" t="str">
        <x:v>Nike</x:v>
      </x:c>
      <x:c r="D6" s="20" t="str">
        <x:v>Kids Air Force 1 Low EasyOn</x:v>
      </x:c>
      <x:c r="E6" s="20" t="str">
        <x:v>Triple White, White/Black, Black, White/Pink, White/Blue</x:v>
      </x:c>
      <x:c r="F6" s="20" t="str">
        <x:v>Kids 21-38 / Big kids 35-40</x:v>
      </x:c>
      <x:c r="G6" s="20" t="str">
        <x:v>Escolar y regalo: velcro/easy-on para pequeños, hype para grandes.</x:v>
      </x:c>
      <x:c r="H6" s="20" t="str">
        <x:v>https://www.nordstrom.com/browse/back-to-school/shoes</x:v>
      </x:c>
      <x:c r="I6" s="20" t="str">
        <x:v>https://www.nike.com/w?q=Nike%20Kids%20Air%20Force%201%20Low%20EasyOn</x:v>
      </x:c>
    </x:row>
    <x:row r="7" ht="43.5" customHeight="1">
      <x:c r="A7" s="21" t="str">
        <x:v>Alta</x:v>
      </x:c>
      <x:c r="B7" s="21" t="str">
        <x:v>Back-to-school / full family</x:v>
      </x:c>
      <x:c r="C7" s="21" t="str">
        <x:v>Nike</x:v>
      </x:c>
      <x:c r="D7" s="21" t="str">
        <x:v>Kids Dunk Low</x:v>
      </x:c>
      <x:c r="E7" s="21" t="str">
        <x:v>Panda, Grey Fog, University Blue, Pink, Green</x:v>
      </x:c>
      <x:c r="F7" s="21" t="str">
        <x:v>Kids 21-38 / Big kids 35-40</x:v>
      </x:c>
      <x:c r="G7" s="21" t="str">
        <x:v>Escolar y regalo: velcro/easy-on para pequeños, hype para grandes.</x:v>
      </x:c>
      <x:c r="H7" s="21" t="str">
        <x:v>https://www.nordstrom.com/browse/back-to-school/shoes</x:v>
      </x:c>
      <x:c r="I7" s="21" t="str">
        <x:v>https://www.nike.com/w?q=Nike%20Kids%20Dunk%20Low</x:v>
      </x:c>
    </x:row>
    <x:row r="8" ht="43.5" customHeight="1">
      <x:c r="A8" s="21" t="str">
        <x:v>Alta</x:v>
      </x:c>
      <x:c r="B8" s="21" t="str">
        <x:v>Back-to-school / full family</x:v>
      </x:c>
      <x:c r="C8" s="21" t="str">
        <x:v>Nike</x:v>
      </x:c>
      <x:c r="D8" s="21" t="str">
        <x:v>Kids Vomero 5</x:v>
      </x:c>
      <x:c r="E8" s="21" t="str">
        <x:v>White/Silver, Black, Pink, Blue, Grey</x:v>
      </x:c>
      <x:c r="F8" s="21" t="str">
        <x:v>Kids 21-38 / Big kids 35-40</x:v>
      </x:c>
      <x:c r="G8" s="21" t="str">
        <x:v>Escolar y regalo: velcro/easy-on para pequeños, hype para grandes.</x:v>
      </x:c>
      <x:c r="H8" s="21" t="str">
        <x:v>https://www.nordstrom.com/browse/back-to-school/shoes</x:v>
      </x:c>
      <x:c r="I8" s="21" t="str">
        <x:v>https://www.nike.com/w?q=Nike%20Kids%20Vomero%205</x:v>
      </x:c>
    </x:row>
    <x:row r="9" ht="43.5" customHeight="1">
      <x:c r="A9" s="21" t="str">
        <x:v>Alta</x:v>
      </x:c>
      <x:c r="B9" s="21" t="str">
        <x:v>Back-to-school / full family</x:v>
      </x:c>
      <x:c r="C9" s="21" t="str">
        <x:v>Nike</x:v>
      </x:c>
      <x:c r="D9" s="21" t="str">
        <x:v>Kids P-6000</x:v>
      </x:c>
      <x:c r="E9" s="21" t="str">
        <x:v>Silver, White/Black, Pink, Blue, Black</x:v>
      </x:c>
      <x:c r="F9" s="21" t="str">
        <x:v>Kids 21-38 / Big kids 35-40</x:v>
      </x:c>
      <x:c r="G9" s="21" t="str">
        <x:v>Escolar y regalo: velcro/easy-on para pequeños, hype para grandes.</x:v>
      </x:c>
      <x:c r="H9" s="21" t="str">
        <x:v>https://www.nordstrom.com/browse/back-to-school/shoes</x:v>
      </x:c>
      <x:c r="I9" s="21" t="str">
        <x:v>https://www.nike.com/w?q=Nike%20Kids%20P-6000</x:v>
      </x:c>
    </x:row>
    <x:row r="10" ht="43.5" customHeight="1">
      <x:c r="A10" s="21" t="str">
        <x:v>Media</x:v>
      </x:c>
      <x:c r="B10" s="21" t="str">
        <x:v>Back-to-school / full family</x:v>
      </x:c>
      <x:c r="C10" s="21" t="str">
        <x:v>Nike</x:v>
      </x:c>
      <x:c r="D10" s="21" t="str">
        <x:v>Kids Shox TL</x:v>
      </x:c>
      <x:c r="E10" s="21" t="str">
        <x:v>Black/Silver, White/Silver, Pink, Orange</x:v>
      </x:c>
      <x:c r="F10" s="21" t="str">
        <x:v>Kids 21-38 / Big kids 35-40</x:v>
      </x:c>
      <x:c r="G10" s="21" t="str">
        <x:v>Escolar y regalo: velcro/easy-on para pequeños, hype para grandes.</x:v>
      </x:c>
      <x:c r="H10" s="21" t="str">
        <x:v>https://www.nordstrom.com/browse/back-to-school/shoes</x:v>
      </x:c>
      <x:c r="I10" s="21" t="str">
        <x:v>https://www.nike.com/w?q=Nike%20Kids%20Shox%20TL</x:v>
      </x:c>
    </x:row>
    <x:row r="11" ht="43.5" customHeight="1">
      <x:c r="A11" s="21" t="str">
        <x:v>Media</x:v>
      </x:c>
      <x:c r="B11" s="21" t="str">
        <x:v>Back-to-school / full family</x:v>
      </x:c>
      <x:c r="C11" s="21" t="str">
        <x:v>Nike</x:v>
      </x:c>
      <x:c r="D11" s="21" t="str">
        <x:v>Kids Air Max 270</x:v>
      </x:c>
      <x:c r="E11" s="21" t="str">
        <x:v>Black/White, White, Blue, Pink, Red</x:v>
      </x:c>
      <x:c r="F11" s="21" t="str">
        <x:v>Kids 21-38 / Big kids 35-40</x:v>
      </x:c>
      <x:c r="G11" s="21" t="str">
        <x:v>Escolar y regalo: velcro/easy-on para pequeños, hype para grandes.</x:v>
      </x:c>
      <x:c r="H11" s="21" t="str">
        <x:v>https://www.nordstrom.com/browse/back-to-school/shoes</x:v>
      </x:c>
      <x:c r="I11" s="21" t="str">
        <x:v>https://www.nike.com/w?q=Nike%20Kids%20Air%20Max%20270</x:v>
      </x:c>
    </x:row>
    <x:row r="12" ht="43.5" customHeight="1">
      <x:c r="A12" s="21" t="str">
        <x:v>Media</x:v>
      </x:c>
      <x:c r="B12" s="21" t="str">
        <x:v>Back-to-school / full family</x:v>
      </x:c>
      <x:c r="C12" s="21" t="str">
        <x:v>Nike</x:v>
      </x:c>
      <x:c r="D12" s="21" t="str">
        <x:v>Kids Air Max 90</x:v>
      </x:c>
      <x:c r="E12" s="21" t="str">
        <x:v>Infrared, White/Black, Pink, Blue, Grey</x:v>
      </x:c>
      <x:c r="F12" s="21" t="str">
        <x:v>Kids 21-38 / Big kids 35-40</x:v>
      </x:c>
      <x:c r="G12" s="21" t="str">
        <x:v>Escolar y regalo: velcro/easy-on para pequeños, hype para grandes.</x:v>
      </x:c>
      <x:c r="H12" s="21" t="str">
        <x:v>https://www.nordstrom.com/browse/back-to-school/shoes</x:v>
      </x:c>
      <x:c r="I12" s="21" t="str">
        <x:v>https://www.nike.com/w?q=Nike%20Kids%20Air%20Max%2090</x:v>
      </x:c>
    </x:row>
    <x:row r="13" ht="43.5" customHeight="1">
      <x:c r="A13" s="21" t="str">
        <x:v>Media</x:v>
      </x:c>
      <x:c r="B13" s="21" t="str">
        <x:v>Back-to-school / full family</x:v>
      </x:c>
      <x:c r="C13" s="21" t="str">
        <x:v>Nike</x:v>
      </x:c>
      <x:c r="D13" s="21" t="str">
        <x:v>Kids Court Borough Low</x:v>
      </x:c>
      <x:c r="E13" s="21" t="str">
        <x:v>White/Black, White/Pink, Black, Red, Blue</x:v>
      </x:c>
      <x:c r="F13" s="21" t="str">
        <x:v>Kids 21-38 / Big kids 35-40</x:v>
      </x:c>
      <x:c r="G13" s="21" t="str">
        <x:v>Escolar y regalo: velcro/easy-on para pequeños, hype para grandes.</x:v>
      </x:c>
      <x:c r="H13" s="21" t="str">
        <x:v>https://www.nordstrom.com/browse/back-to-school/shoes</x:v>
      </x:c>
      <x:c r="I13" s="21" t="str">
        <x:v>https://www.nike.com/w?q=Nike%20Kids%20Court%20Borough%20Low</x:v>
      </x:c>
    </x:row>
    <x:row r="14" ht="43.5" customHeight="1">
      <x:c r="A14" s="21" t="str">
        <x:v>Media</x:v>
      </x:c>
      <x:c r="B14" s="21" t="str">
        <x:v>Back-to-school / full family</x:v>
      </x:c>
      <x:c r="C14" s="21" t="str">
        <x:v>Nike</x:v>
      </x:c>
      <x:c r="D14" s="21" t="str">
        <x:v>Nike 23/7.2 EasyOn</x:v>
      </x:c>
      <x:c r="E14" s="21" t="str">
        <x:v>Black/White, Pink, Blue, Grey, Red</x:v>
      </x:c>
      <x:c r="F14" s="21" t="str">
        <x:v>Kids 21-38 / Big kids 35-40</x:v>
      </x:c>
      <x:c r="G14" s="21" t="str">
        <x:v>Escolar y regalo: velcro/easy-on para pequeños, hype para grandes.</x:v>
      </x:c>
      <x:c r="H14" s="21" t="str">
        <x:v>https://www.nordstrom.com/browse/back-to-school/shoes</x:v>
      </x:c>
      <x:c r="I14" s="21" t="str">
        <x:v>https://www.nike.com/w?q=Nike%20Nike%2023%2F7.2%20EasyOn</x:v>
      </x:c>
    </x:row>
    <x:row r="15" ht="43.5" customHeight="1">
      <x:c r="A15" s="21" t="str">
        <x:v>Prueba</x:v>
      </x:c>
      <x:c r="B15" s="21" t="str">
        <x:v>Back-to-school / full family</x:v>
      </x:c>
      <x:c r="C15" s="21" t="str">
        <x:v>Nike</x:v>
      </x:c>
      <x:c r="D15" s="21" t="str">
        <x:v>Kids Ja / Sabrina / Team Hustle</x:v>
      </x:c>
      <x:c r="E15" s="21" t="str">
        <x:v>Black/Red, Blue, Pink, White/Black, Purple</x:v>
      </x:c>
      <x:c r="F15" s="21" t="str">
        <x:v>Kids 21-38 / Big kids 35-40</x:v>
      </x:c>
      <x:c r="G15" s="21" t="str">
        <x:v>Escolar y regalo: velcro/easy-on para pequeños, hype para grandes.</x:v>
      </x:c>
      <x:c r="H15" s="21" t="str">
        <x:v>https://www.nordstrom.com/browse/back-to-school/shoes</x:v>
      </x:c>
      <x:c r="I15" s="21" t="str">
        <x:v>https://www.nike.com/w?q=Nike%20Kids%20Ja%20%2F%20Sabrina%20%2F%20Team%20Hustle</x:v>
      </x:c>
    </x:row>
    <x:row r="16" ht="43.5" customHeight="1">
      <x:c r="A16" s="21" t="str">
        <x:v>Alta</x:v>
      </x:c>
      <x:c r="B16" s="21" t="str">
        <x:v>Back-to-school / full family</x:v>
      </x:c>
      <x:c r="C16" s="21" t="str">
        <x:v>Jordan</x:v>
      </x:c>
      <x:c r="D16" s="21" t="str">
        <x:v>Kids Jordan 1 Low</x:v>
      </x:c>
      <x:c r="E16" s="21" t="str">
        <x:v>Panda, Chicago, University Blue, Pink, Black/Red</x:v>
      </x:c>
      <x:c r="F16" s="21" t="str">
        <x:v>Kids 21-38 / Big kids 35-40</x:v>
      </x:c>
      <x:c r="G16" s="21" t="str">
        <x:v>Jordan en nino funciona por regalo y familia completa.</x:v>
      </x:c>
      <x:c r="H16" s="21" t="str">
        <x:v>https://www.nordstrom.com/browse/back-to-school/shoes</x:v>
      </x:c>
      <x:c r="I16" s="21" t="str">
        <x:v>https://www.nike.com/w?q=Jordan%20Kids%20Jordan%201%20Low</x:v>
      </x:c>
    </x:row>
    <x:row r="17" ht="43.5" customHeight="1">
      <x:c r="A17" s="21" t="str">
        <x:v>Alta</x:v>
      </x:c>
      <x:c r="B17" s="21" t="str">
        <x:v>Back-to-school / full family</x:v>
      </x:c>
      <x:c r="C17" s="21" t="str">
        <x:v>Jordan</x:v>
      </x:c>
      <x:c r="D17" s="21" t="str">
        <x:v>Kids Jordan 3 Retro</x:v>
      </x:c>
      <x:c r="E17" s="21" t="str">
        <x:v>White Cement, Black Cement, True Blue, Fire Red, Pink</x:v>
      </x:c>
      <x:c r="F17" s="21" t="str">
        <x:v>Kids 21-38 / Big kids 35-40</x:v>
      </x:c>
      <x:c r="G17" s="21" t="str">
        <x:v>Jordan en nino funciona por regalo y familia completa.</x:v>
      </x:c>
      <x:c r="H17" s="21" t="str">
        <x:v>https://www.nordstrom.com/browse/back-to-school/shoes</x:v>
      </x:c>
      <x:c r="I17" s="21" t="str">
        <x:v>https://www.nike.com/w?q=Jordan%20Kids%20Jordan%203%20Retro</x:v>
      </x:c>
    </x:row>
    <x:row r="18" ht="43.5" customHeight="1">
      <x:c r="A18" s="21" t="str">
        <x:v>Alta</x:v>
      </x:c>
      <x:c r="B18" s="21" t="str">
        <x:v>Back-to-school / full family</x:v>
      </x:c>
      <x:c r="C18" s="21" t="str">
        <x:v>Jordan</x:v>
      </x:c>
      <x:c r="D18" s="21" t="str">
        <x:v>Kids Jordan 4 Retro</x:v>
      </x:c>
      <x:c r="E18" s="21" t="str">
        <x:v>Military Blue, Bred, White Cement, Thunder, Olive</x:v>
      </x:c>
      <x:c r="F18" s="21" t="str">
        <x:v>Kids 21-38 / Big kids 35-40</x:v>
      </x:c>
      <x:c r="G18" s="21" t="str">
        <x:v>Jordan en nino funciona por regalo y familia completa.</x:v>
      </x:c>
      <x:c r="H18" s="21" t="str">
        <x:v>https://www.nordstrom.com/browse/back-to-school/shoes</x:v>
      </x:c>
      <x:c r="I18" s="21" t="str">
        <x:v>https://www.nike.com/w?q=Jordan%20Kids%20Jordan%204%20Retro</x:v>
      </x:c>
    </x:row>
    <x:row r="19" ht="43.5" customHeight="1">
      <x:c r="A19" s="21" t="str">
        <x:v>Media</x:v>
      </x:c>
      <x:c r="B19" s="21" t="str">
        <x:v>Back-to-school / full family</x:v>
      </x:c>
      <x:c r="C19" s="21" t="str">
        <x:v>Jordan</x:v>
      </x:c>
      <x:c r="D19" s="21" t="str">
        <x:v>Kids Jordan 5 Retro</x:v>
      </x:c>
      <x:c r="E19" s="21" t="str">
        <x:v>Wolf Grey, Grape, Fire Red, Black Metallic</x:v>
      </x:c>
      <x:c r="F19" s="21" t="str">
        <x:v>Kids 21-38 / Big kids 35-40</x:v>
      </x:c>
      <x:c r="G19" s="21" t="str">
        <x:v>Jordan en nino funciona por regalo y familia completa.</x:v>
      </x:c>
      <x:c r="H19" s="21" t="str">
        <x:v>https://www.nordstrom.com/browse/back-to-school/shoes</x:v>
      </x:c>
      <x:c r="I19" s="21" t="str">
        <x:v>https://www.nike.com/w?q=Jordan%20Kids%20Jordan%205%20Retro</x:v>
      </x:c>
    </x:row>
    <x:row r="20" ht="43.5" customHeight="1">
      <x:c r="A20" s="21" t="str">
        <x:v>Alta</x:v>
      </x:c>
      <x:c r="B20" s="21" t="str">
        <x:v>Back-to-school / full family</x:v>
      </x:c>
      <x:c r="C20" s="21" t="str">
        <x:v>Jordan</x:v>
      </x:c>
      <x:c r="D20" s="21" t="str">
        <x:v>Kids Jordan Spizike Low</x:v>
      </x:c>
      <x:c r="E20" s="21" t="str">
        <x:v>Black/Red, White/Cement, University Blue, Pink</x:v>
      </x:c>
      <x:c r="F20" s="21" t="str">
        <x:v>Kids 21-38 / Big kids 35-40</x:v>
      </x:c>
      <x:c r="G20" s="21" t="str">
        <x:v>Jordan en nino funciona por regalo y familia completa.</x:v>
      </x:c>
      <x:c r="H20" s="21" t="str">
        <x:v>https://www.nordstrom.com/browse/back-to-school/shoes</x:v>
      </x:c>
      <x:c r="I20" s="21" t="str">
        <x:v>https://www.nike.com/w?q=Jordan%20Kids%20Jordan%20Spizike%20Low</x:v>
      </x:c>
    </x:row>
    <x:row r="21" ht="43.5" customHeight="1">
      <x:c r="A21" s="21" t="str">
        <x:v>Alta</x:v>
      </x:c>
      <x:c r="B21" s="21" t="str">
        <x:v>Back-to-school / full family</x:v>
      </x:c>
      <x:c r="C21" s="21" t="str">
        <x:v>Jordan</x:v>
      </x:c>
      <x:c r="D21" s="21" t="str">
        <x:v>Kids Jordan 11 Low</x:v>
      </x:c>
      <x:c r="E21" s="21" t="str">
        <x:v>Concord, Bred, Cool Grey, Cherry, Legend Blue</x:v>
      </x:c>
      <x:c r="F21" s="21" t="str">
        <x:v>Kids 21-38 / Big kids 35-40</x:v>
      </x:c>
      <x:c r="G21" s="21" t="str">
        <x:v>Jordan en nino funciona por regalo y familia completa.</x:v>
      </x:c>
      <x:c r="H21" s="21" t="str">
        <x:v>https://www.nordstrom.com/browse/back-to-school/shoes</x:v>
      </x:c>
      <x:c r="I21" s="21" t="str">
        <x:v>https://www.nike.com/w?q=Jordan%20Kids%20Jordan%2011%20Low</x:v>
      </x:c>
    </x:row>
    <x:row r="22" ht="43.5" customHeight="1">
      <x:c r="A22" s="21" t="str">
        <x:v>Alta</x:v>
      </x:c>
      <x:c r="B22" s="21" t="str">
        <x:v>Back-to-school / terrace</x:v>
      </x:c>
      <x:c r="C22" s="21" t="str">
        <x:v>adidas</x:v>
      </x:c>
      <x:c r="D22" s="21" t="str">
        <x:v>Kids Samba OG</x:v>
      </x:c>
      <x:c r="E22" s="21" t="str">
        <x:v>White/Black, Black/White, Burgundy, Green, Navy</x:v>
      </x:c>
      <x:c r="F22" s="21" t="str">
        <x:v>Kids 21-38 / Big kids 35-40</x:v>
      </x:c>
      <x:c r="G22" s="21" t="str">
        <x:v>Adidas para colegio: Samba/Gazelle/Campus faciles de vender.</x:v>
      </x:c>
      <x:c r="H22" s="21" t="str">
        <x:v>https://www.nordstrom.com/browse/back-to-school/shoes</x:v>
      </x:c>
      <x:c r="I22" s="21" t="str">
        <x:v>https://www.adidas.com/us/search?q=adidas%20Kids%20Samba%20OG</x:v>
      </x:c>
    </x:row>
    <x:row r="23" ht="43.5" customHeight="1">
      <x:c r="A23" s="21" t="str">
        <x:v>Alta</x:v>
      </x:c>
      <x:c r="B23" s="21" t="str">
        <x:v>Back-to-school / terrace</x:v>
      </x:c>
      <x:c r="C23" s="21" t="str">
        <x:v>adidas</x:v>
      </x:c>
      <x:c r="D23" s="21" t="str">
        <x:v>Kids Samba Jane</x:v>
      </x:c>
      <x:c r="E23" s="21" t="str">
        <x:v>Black/White, White/Black, Burgundy, Silver, Cream</x:v>
      </x:c>
      <x:c r="F23" s="21" t="str">
        <x:v>Kids 21-38 / Big kids 35-40</x:v>
      </x:c>
      <x:c r="G23" s="21" t="str">
        <x:v>Adidas para colegio: Samba/Gazelle/Campus faciles de vender.</x:v>
      </x:c>
      <x:c r="H23" s="21" t="str">
        <x:v>https://www.nordstrom.com/browse/back-to-school/shoes</x:v>
      </x:c>
      <x:c r="I23" s="21" t="str">
        <x:v>https://www.adidas.com/us/search?q=adidas%20Kids%20Samba%20Jane</x:v>
      </x:c>
    </x:row>
    <x:row r="24" ht="43.5" customHeight="1">
      <x:c r="A24" s="21" t="str">
        <x:v>Alta</x:v>
      </x:c>
      <x:c r="B24" s="21" t="str">
        <x:v>Back-to-school / terrace</x:v>
      </x:c>
      <x:c r="C24" s="21" t="str">
        <x:v>adidas</x:v>
      </x:c>
      <x:c r="D24" s="21" t="str">
        <x:v>Kids Gazelle</x:v>
      </x:c>
      <x:c r="E24" s="21" t="str">
        <x:v>Blue, Pink, Green, Black, Burgundy</x:v>
      </x:c>
      <x:c r="F24" s="21" t="str">
        <x:v>Kids 21-38 / Big kids 35-40</x:v>
      </x:c>
      <x:c r="G24" s="21" t="str">
        <x:v>Adidas para colegio: Samba/Gazelle/Campus faciles de vender.</x:v>
      </x:c>
      <x:c r="H24" s="21" t="str">
        <x:v>https://www.nordstrom.com/browse/back-to-school/shoes</x:v>
      </x:c>
      <x:c r="I24" s="21" t="str">
        <x:v>https://www.adidas.com/us/search?q=adidas%20Kids%20Gazelle</x:v>
      </x:c>
    </x:row>
    <x:row r="25" ht="43.5" customHeight="1">
      <x:c r="A25" s="21" t="str">
        <x:v>Media</x:v>
      </x:c>
      <x:c r="B25" s="21" t="str">
        <x:v>Back-to-school / terrace</x:v>
      </x:c>
      <x:c r="C25" s="21" t="str">
        <x:v>adidas</x:v>
      </x:c>
      <x:c r="D25" s="21" t="str">
        <x:v>Kids Handball Spezial</x:v>
      </x:c>
      <x:c r="E25" s="21" t="str">
        <x:v>Navy/Gum, Light Blue, Green, Brown, Pink</x:v>
      </x:c>
      <x:c r="F25" s="21" t="str">
        <x:v>Kids 21-38 / Big kids 35-40</x:v>
      </x:c>
      <x:c r="G25" s="21" t="str">
        <x:v>Adidas para colegio: Samba/Gazelle/Campus faciles de vender.</x:v>
      </x:c>
      <x:c r="H25" s="21" t="str">
        <x:v>https://www.nordstrom.com/browse/back-to-school/shoes</x:v>
      </x:c>
      <x:c r="I25" s="21" t="str">
        <x:v>https://www.adidas.com/us/search?q=adidas%20Kids%20Handball%20Spezial</x:v>
      </x:c>
    </x:row>
    <x:row r="26" ht="43.5" customHeight="1">
      <x:c r="A26" s="21" t="str">
        <x:v>Alta</x:v>
      </x:c>
      <x:c r="B26" s="21" t="str">
        <x:v>Back-to-school / terrace</x:v>
      </x:c>
      <x:c r="C26" s="21" t="str">
        <x:v>adidas</x:v>
      </x:c>
      <x:c r="D26" s="21" t="str">
        <x:v>Kids Campus 00s</x:v>
      </x:c>
      <x:c r="E26" s="21" t="str">
        <x:v>Grey, Black, Pink, Green, Navy</x:v>
      </x:c>
      <x:c r="F26" s="21" t="str">
        <x:v>Kids 21-38 / Big kids 35-40</x:v>
      </x:c>
      <x:c r="G26" s="21" t="str">
        <x:v>Adidas para colegio: Samba/Gazelle/Campus faciles de vender.</x:v>
      </x:c>
      <x:c r="H26" s="21" t="str">
        <x:v>https://www.nordstrom.com/browse/back-to-school/shoes</x:v>
      </x:c>
      <x:c r="I26" s="21" t="str">
        <x:v>https://www.adidas.com/us/search?q=adidas%20Kids%20Campus%2000s</x:v>
      </x:c>
    </x:row>
    <x:row r="27" ht="43.5" customHeight="1">
      <x:c r="A27" s="21" t="str">
        <x:v>Media</x:v>
      </x:c>
      <x:c r="B27" s="21" t="str">
        <x:v>Back-to-school / terrace</x:v>
      </x:c>
      <x:c r="C27" s="21" t="str">
        <x:v>adidas</x:v>
      </x:c>
      <x:c r="D27" s="21" t="str">
        <x:v>Kids Superstar</x:v>
      </x:c>
      <x:c r="E27" s="21" t="str">
        <x:v>White/Black, Black/White, Pink, Red, Blue</x:v>
      </x:c>
      <x:c r="F27" s="21" t="str">
        <x:v>Kids 21-38 / Big kids 35-40</x:v>
      </x:c>
      <x:c r="G27" s="21" t="str">
        <x:v>Adidas para colegio: Samba/Gazelle/Campus faciles de vender.</x:v>
      </x:c>
      <x:c r="H27" s="21" t="str">
        <x:v>https://www.nordstrom.com/browse/back-to-school/shoes</x:v>
      </x:c>
      <x:c r="I27" s="21" t="str">
        <x:v>https://www.adidas.com/us/search?q=adidas%20Kids%20Superstar</x:v>
      </x:c>
    </x:row>
    <x:row r="28" ht="43.5" customHeight="1">
      <x:c r="A28" s="21" t="str">
        <x:v>Media</x:v>
      </x:c>
      <x:c r="B28" s="21" t="str">
        <x:v>Back-to-school / terrace</x:v>
      </x:c>
      <x:c r="C28" s="21" t="str">
        <x:v>adidas</x:v>
      </x:c>
      <x:c r="D28" s="21" t="str">
        <x:v>Kids Stan Smith</x:v>
      </x:c>
      <x:c r="E28" s="21" t="str">
        <x:v>White/Green, White/Navy, Pink, Black</x:v>
      </x:c>
      <x:c r="F28" s="21" t="str">
        <x:v>Kids 21-38 / Big kids 35-40</x:v>
      </x:c>
      <x:c r="G28" s="21" t="str">
        <x:v>Adidas para colegio: Samba/Gazelle/Campus faciles de vender.</x:v>
      </x:c>
      <x:c r="H28" s="21" t="str">
        <x:v>https://www.nordstrom.com/browse/back-to-school/shoes</x:v>
      </x:c>
      <x:c r="I28" s="21" t="str">
        <x:v>https://www.adidas.com/us/search?q=adidas%20Kids%20Stan%20Smith</x:v>
      </x:c>
    </x:row>
    <x:row r="29" ht="43.5" customHeight="1">
      <x:c r="A29" s="21" t="str">
        <x:v>Alta</x:v>
      </x:c>
      <x:c r="B29" s="21" t="str">
        <x:v>Back-to-school / terrace</x:v>
      </x:c>
      <x:c r="C29" s="21" t="str">
        <x:v>adidas</x:v>
      </x:c>
      <x:c r="D29" s="21" t="str">
        <x:v>Kids AE 1/AE 2</x:v>
      </x:c>
      <x:c r="E29" s="21" t="str">
        <x:v>Multicolor, Orange, Black/White, Blue, Silver</x:v>
      </x:c>
      <x:c r="F29" s="21" t="str">
        <x:v>Kids 21-38 / Big kids 35-40</x:v>
      </x:c>
      <x:c r="G29" s="21" t="str">
        <x:v>Adidas para colegio: Samba/Gazelle/Campus faciles de vender.</x:v>
      </x:c>
      <x:c r="H29" s="21" t="str">
        <x:v>https://www.nordstrom.com/browse/back-to-school/shoes</x:v>
      </x:c>
      <x:c r="I29" s="21" t="str">
        <x:v>https://www.adidas.com/us/search?q=adidas%20Kids%20AE%201%2FAE%202</x:v>
      </x:c>
    </x:row>
    <x:row r="30" ht="43.5" customHeight="1">
      <x:c r="A30" s="21" t="str">
        <x:v>Alta</x:v>
      </x:c>
      <x:c r="B30" s="21" t="str">
        <x:v>Back-to-school / runner</x:v>
      </x:c>
      <x:c r="C30" s="21" t="str">
        <x:v>New Balance</x:v>
      </x:c>
      <x:c r="D30" s="21" t="str">
        <x:v>Kids 530</x:v>
      </x:c>
      <x:c r="E30" s="21" t="str">
        <x:v>White/Silver, Navy, Pink, Grey, Beige</x:v>
      </x:c>
      <x:c r="F30" s="21" t="str">
        <x:v>Kids 21-38 / Big kids 35-40</x:v>
      </x:c>
      <x:c r="G30" s="21" t="str">
        <x:v>Comodidad y moda Y2K para colegio.</x:v>
      </x:c>
      <x:c r="H30" s="21" t="str">
        <x:v>https://www.nordstrom.com/browse/back-to-school/shoes</x:v>
      </x:c>
      <x:c r="I30" s="21" t="str">
        <x:v>https://www.newbalance.com/search?q=New%20Balance%20Kids%20530</x:v>
      </x:c>
    </x:row>
    <x:row r="31" ht="43.5" customHeight="1">
      <x:c r="A31" s="21" t="str">
        <x:v>Alta</x:v>
      </x:c>
      <x:c r="B31" s="21" t="str">
        <x:v>Back-to-school / runner</x:v>
      </x:c>
      <x:c r="C31" s="21" t="str">
        <x:v>New Balance</x:v>
      </x:c>
      <x:c r="D31" s="21" t="str">
        <x:v>Kids 9060</x:v>
      </x:c>
      <x:c r="E31" s="21" t="str">
        <x:v>Grey, Black, Pink, Sea Salt, Blue</x:v>
      </x:c>
      <x:c r="F31" s="21" t="str">
        <x:v>Kids 21-38 / Big kids 35-40</x:v>
      </x:c>
      <x:c r="G31" s="21" t="str">
        <x:v>Comodidad y moda Y2K para colegio.</x:v>
      </x:c>
      <x:c r="H31" s="21" t="str">
        <x:v>https://www.nordstrom.com/browse/back-to-school/shoes</x:v>
      </x:c>
      <x:c r="I31" s="21" t="str">
        <x:v>https://www.newbalance.com/search?q=New%20Balance%20Kids%209060</x:v>
      </x:c>
    </x:row>
    <x:row r="32" ht="43.5" customHeight="1">
      <x:c r="A32" s="21" t="str">
        <x:v>Alta</x:v>
      </x:c>
      <x:c r="B32" s="21" t="str">
        <x:v>Back-to-school / runner</x:v>
      </x:c>
      <x:c r="C32" s="21" t="str">
        <x:v>New Balance</x:v>
      </x:c>
      <x:c r="D32" s="21" t="str">
        <x:v>Kids 1906R</x:v>
      </x:c>
      <x:c r="E32" s="21" t="str">
        <x:v>Silver/Black, Pink Haze, Black, Blue, Cream</x:v>
      </x:c>
      <x:c r="F32" s="21" t="str">
        <x:v>Kids 21-38 / Big kids 35-40</x:v>
      </x:c>
      <x:c r="G32" s="21" t="str">
        <x:v>Comodidad y moda Y2K para colegio.</x:v>
      </x:c>
      <x:c r="H32" s="21" t="str">
        <x:v>https://www.nordstrom.com/browse/back-to-school/shoes</x:v>
      </x:c>
      <x:c r="I32" s="21" t="str">
        <x:v>https://www.newbalance.com/search?q=New%20Balance%20Kids%201906R</x:v>
      </x:c>
    </x:row>
    <x:row r="33" ht="43.5" customHeight="1">
      <x:c r="A33" s="21" t="str">
        <x:v>Media</x:v>
      </x:c>
      <x:c r="B33" s="21" t="str">
        <x:v>Back-to-school / runner</x:v>
      </x:c>
      <x:c r="C33" s="21" t="str">
        <x:v>New Balance</x:v>
      </x:c>
      <x:c r="D33" s="21" t="str">
        <x:v>Kids 2002R</x:v>
      </x:c>
      <x:c r="E33" s="21" t="str">
        <x:v>Grey, Black, Navy, Cream, Pink</x:v>
      </x:c>
      <x:c r="F33" s="21" t="str">
        <x:v>Kids 21-38 / Big kids 35-40</x:v>
      </x:c>
      <x:c r="G33" s="21" t="str">
        <x:v>Comodidad y moda Y2K para colegio.</x:v>
      </x:c>
      <x:c r="H33" s="21" t="str">
        <x:v>https://www.nordstrom.com/browse/back-to-school/shoes</x:v>
      </x:c>
      <x:c r="I33" s="21" t="str">
        <x:v>https://www.newbalance.com/search?q=New%20Balance%20Kids%202002R</x:v>
      </x:c>
    </x:row>
    <x:row r="34" ht="43.5" customHeight="1">
      <x:c r="A34" s="21" t="str">
        <x:v>Alta</x:v>
      </x:c>
      <x:c r="B34" s="21" t="str">
        <x:v>Back-to-school / runner</x:v>
      </x:c>
      <x:c r="C34" s="21" t="str">
        <x:v>New Balance</x:v>
      </x:c>
      <x:c r="D34" s="21" t="str">
        <x:v>Kids 204L</x:v>
      </x:c>
      <x:c r="E34" s="21" t="str">
        <x:v>White/Oxford Blue, White/Grey, Pink, Black, Driftwood</x:v>
      </x:c>
      <x:c r="F34" s="21" t="str">
        <x:v>Kids 21-38 / Big kids 35-40</x:v>
      </x:c>
      <x:c r="G34" s="21" t="str">
        <x:v>Comodidad y moda Y2K para colegio.</x:v>
      </x:c>
      <x:c r="H34" s="21" t="str">
        <x:v>https://www.nordstrom.com/browse/back-to-school/shoes</x:v>
      </x:c>
      <x:c r="I34" s="21" t="str">
        <x:v>https://www.newbalance.com/search?q=New%20Balance%20Kids%20204L</x:v>
      </x:c>
    </x:row>
    <x:row r="35" ht="43.5" customHeight="1">
      <x:c r="A35" s="21" t="str">
        <x:v>Media</x:v>
      </x:c>
      <x:c r="B35" s="21" t="str">
        <x:v>Back-to-school / runner</x:v>
      </x:c>
      <x:c r="C35" s="21" t="str">
        <x:v>New Balance</x:v>
      </x:c>
      <x:c r="D35" s="21" t="str">
        <x:v>Kids 2010</x:v>
      </x:c>
      <x:c r="E35" s="21" t="str">
        <x:v>Raincloud, Shell Pink, Black, Navy, Turtledove</x:v>
      </x:c>
      <x:c r="F35" s="21" t="str">
        <x:v>Kids 21-38 / Big kids 35-40</x:v>
      </x:c>
      <x:c r="G35" s="21" t="str">
        <x:v>Comodidad y moda Y2K para colegio.</x:v>
      </x:c>
      <x:c r="H35" s="21" t="str">
        <x:v>https://www.nordstrom.com/browse/back-to-school/shoes</x:v>
      </x:c>
      <x:c r="I35" s="21" t="str">
        <x:v>https://www.newbalance.com/search?q=New%20Balance%20Kids%202010</x:v>
      </x:c>
    </x:row>
    <x:row r="36" ht="43.5" customHeight="1">
      <x:c r="A36" s="21" t="str">
        <x:v>Media</x:v>
      </x:c>
      <x:c r="B36" s="21" t="str">
        <x:v>Back-to-school / runner</x:v>
      </x:c>
      <x:c r="C36" s="21" t="str">
        <x:v>New Balance</x:v>
      </x:c>
      <x:c r="D36" s="21" t="str">
        <x:v>Kids 574</x:v>
      </x:c>
      <x:c r="E36" s="21" t="str">
        <x:v>Grey, Navy, Pink, Black, Green</x:v>
      </x:c>
      <x:c r="F36" s="21" t="str">
        <x:v>Kids 21-38 / Big kids 35-40</x:v>
      </x:c>
      <x:c r="G36" s="21" t="str">
        <x:v>Comodidad y moda Y2K para colegio.</x:v>
      </x:c>
      <x:c r="H36" s="21" t="str">
        <x:v>https://www.nordstrom.com/browse/back-to-school/shoes</x:v>
      </x:c>
      <x:c r="I36" s="21" t="str">
        <x:v>https://www.newbalance.com/search?q=New%20Balance%20Kids%20574</x:v>
      </x:c>
    </x:row>
    <x:row r="37" ht="43.5" customHeight="1">
      <x:c r="A37" s="21" t="str">
        <x:v>Prueba</x:v>
      </x:c>
      <x:c r="B37" s="21" t="str">
        <x:v>Back-to-school / runner</x:v>
      </x:c>
      <x:c r="C37" s="21" t="str">
        <x:v>New Balance</x:v>
      </x:c>
      <x:c r="D37" s="21" t="str">
        <x:v>Kids Fresh Foam 625/860</x:v>
      </x:c>
      <x:c r="E37" s="21" t="str">
        <x:v>Black, Grey, Navy, Pink, Blue</x:v>
      </x:c>
      <x:c r="F37" s="21" t="str">
        <x:v>Kids 21-38 / Big kids 35-40</x:v>
      </x:c>
      <x:c r="G37" s="21" t="str">
        <x:v>Comodidad y moda Y2K para colegio.</x:v>
      </x:c>
      <x:c r="H37" s="21" t="str">
        <x:v>https://www.nordstrom.com/browse/back-to-school/shoes</x:v>
      </x:c>
      <x:c r="I37" s="21" t="str">
        <x:v>https://www.newbalance.com/search?q=New%20Balance%20Kids%20Fresh%20Foam%20625%2F860</x:v>
      </x:c>
    </x:row>
    <x:row r="38" ht="43.5" customHeight="1">
      <x:c r="A38" s="21" t="str">
        <x:v>Media</x:v>
      </x:c>
      <x:c r="B38" s="21" t="str">
        <x:v>Back-to-school / runner</x:v>
      </x:c>
      <x:c r="C38" s="21" t="str">
        <x:v>New Balance</x:v>
      </x:c>
      <x:c r="D38" s="21" t="str">
        <x:v>Kids 440v2 / Jamie Foy 306</x:v>
      </x:c>
      <x:c r="E38" s="21" t="str">
        <x:v>Black/White, Navy, Sea Salt, Dark Moss</x:v>
      </x:c>
      <x:c r="F38" s="21" t="str">
        <x:v>Kids 21-38 / Big kids 35-40</x:v>
      </x:c>
      <x:c r="G38" s="21" t="str">
        <x:v>Comodidad y moda Y2K para colegio.</x:v>
      </x:c>
      <x:c r="H38" s="21" t="str">
        <x:v>https://www.nordstrom.com/browse/back-to-school/shoes</x:v>
      </x:c>
      <x:c r="I38" s="21" t="str">
        <x:v>https://www.newbalance.com/search?q=New%20Balance%20Kids%20440v2%20%2F%20Jamie%20Foy%20306</x:v>
      </x:c>
    </x:row>
    <x:row r="39" ht="43.5" customHeight="1">
      <x:c r="A39" s="21" t="str">
        <x:v>Alta</x:v>
      </x:c>
      <x:c r="B39" s="21" t="str">
        <x:v>Back-to-school / runner</x:v>
      </x:c>
      <x:c r="C39" s="21" t="str">
        <x:v>ASICS</x:v>
      </x:c>
      <x:c r="D39" s="21" t="str">
        <x:v>Kids GEL-1130</x:v>
      </x:c>
      <x:c r="E39" s="21" t="str">
        <x:v>White/Silver, Black, Cream, Pink, Blue</x:v>
      </x:c>
      <x:c r="F39" s="21" t="str">
        <x:v>Kids 21-38 / Big kids 35-40</x:v>
      </x:c>
      <x:c r="G39" s="21" t="str">
        <x:v>ASICS kids se ve por GEL-1130 y runner retro.</x:v>
      </x:c>
      <x:c r="H39" s="21" t="str">
        <x:v>https://www.nordstrom.com/browse/back-to-school/shoes</x:v>
      </x:c>
      <x:c r="I39" s="21" t="str">
        <x:v>https://www.asics.com/us/en-us/search/?q=ASICS%20Kids%20GEL-1130</x:v>
      </x:c>
    </x:row>
    <x:row r="40" ht="43.5" customHeight="1">
      <x:c r="A40" s="21" t="str">
        <x:v>Media</x:v>
      </x:c>
      <x:c r="B40" s="21" t="str">
        <x:v>Back-to-school / runner</x:v>
      </x:c>
      <x:c r="C40" s="21" t="str">
        <x:v>ASICS</x:v>
      </x:c>
      <x:c r="D40" s="21" t="str">
        <x:v>Kids GEL-NYC</x:v>
      </x:c>
      <x:c r="E40" s="21" t="str">
        <x:v>Cream, Grey, Black, Blue, Green</x:v>
      </x:c>
      <x:c r="F40" s="21" t="str">
        <x:v>Kids 21-38 / Big kids 35-40</x:v>
      </x:c>
      <x:c r="G40" s="21" t="str">
        <x:v>ASICS kids se ve por GEL-1130 y runner retro.</x:v>
      </x:c>
      <x:c r="H40" s="21" t="str">
        <x:v>https://www.nordstrom.com/browse/back-to-school/shoes</x:v>
      </x:c>
      <x:c r="I40" s="21" t="str">
        <x:v>https://www.asics.com/us/en-us/search/?q=ASICS%20Kids%20GEL-NYC</x:v>
      </x:c>
    </x:row>
    <x:row r="41" ht="43.5" customHeight="1">
      <x:c r="A41" s="21" t="str">
        <x:v>Prueba</x:v>
      </x:c>
      <x:c r="B41" s="21" t="str">
        <x:v>Back-to-school / runner</x:v>
      </x:c>
      <x:c r="C41" s="21" t="str">
        <x:v>ASICS</x:v>
      </x:c>
      <x:c r="D41" s="21" t="str">
        <x:v>Kids GT-1000 / Cumulus</x:v>
      </x:c>
      <x:c r="E41" s="21" t="str">
        <x:v>Black, Navy, Pink, Blue, Grey</x:v>
      </x:c>
      <x:c r="F41" s="21" t="str">
        <x:v>Kids 21-38 / Big kids 35-40</x:v>
      </x:c>
      <x:c r="G41" s="21" t="str">
        <x:v>ASICS kids se ve por GEL-1130 y runner retro.</x:v>
      </x:c>
      <x:c r="H41" s="21" t="str">
        <x:v>https://www.nordstrom.com/browse/back-to-school/shoes</x:v>
      </x:c>
      <x:c r="I41" s="21" t="str">
        <x:v>https://www.asics.com/us/en-us/search/?q=ASICS%20Kids%20GT-1000%20%2F%20Cumulus</x:v>
      </x:c>
    </x:row>
    <x:row r="42" ht="43.5" customHeight="1">
      <x:c r="A42" s="21" t="str">
        <x:v>Alta</x:v>
      </x:c>
      <x:c r="B42" s="21" t="str">
        <x:v>Back-to-school / casual</x:v>
      </x:c>
      <x:c r="C42" s="21" t="str">
        <x:v>Converse</x:v>
      </x:c>
      <x:c r="D42" s="21" t="str">
        <x:v>Kids Chuck Taylor High</x:v>
      </x:c>
      <x:c r="E42" s="21" t="str">
        <x:v>Black, White, Red, Navy, Pink</x:v>
      </x:c>
      <x:c r="F42" s="21" t="str">
        <x:v>Kids 21-38 / Big kids 35-40</x:v>
      </x:c>
      <x:c r="G42" s="21" t="str">
        <x:v>Basico escolar, facil de combinar y buen precio.</x:v>
      </x:c>
      <x:c r="H42" s="21" t="str">
        <x:v>https://www.nordstrom.com/browse/back-to-school/shoes</x:v>
      </x:c>
      <x:c r="I42" s="21" t="str">
        <x:v>https://www.converse.com/search?q=Converse%20Kids%20Chuck%20Taylor%20High</x:v>
      </x:c>
    </x:row>
    <x:row r="43" ht="43.5" customHeight="1">
      <x:c r="A43" s="21" t="str">
        <x:v>Alta</x:v>
      </x:c>
      <x:c r="B43" s="21" t="str">
        <x:v>Back-to-school / casual</x:v>
      </x:c>
      <x:c r="C43" s="21" t="str">
        <x:v>Converse</x:v>
      </x:c>
      <x:c r="D43" s="21" t="str">
        <x:v>Kids Chuck Taylor EVA Lift High</x:v>
      </x:c>
      <x:c r="E43" s="21" t="str">
        <x:v>Black, White, Pink, Glitter/Silver</x:v>
      </x:c>
      <x:c r="F43" s="21" t="str">
        <x:v>Kids 21-38 / Big kids 35-40</x:v>
      </x:c>
      <x:c r="G43" s="21" t="str">
        <x:v>Basico escolar, facil de combinar y buen precio.</x:v>
      </x:c>
      <x:c r="H43" s="21" t="str">
        <x:v>https://www.nordstrom.com/browse/back-to-school/shoes</x:v>
      </x:c>
      <x:c r="I43" s="21" t="str">
        <x:v>https://www.converse.com/search?q=Converse%20Kids%20Chuck%20Taylor%20EVA%20Lift%20High</x:v>
      </x:c>
    </x:row>
    <x:row r="44" ht="43.5" customHeight="1">
      <x:c r="A44" s="21" t="str">
        <x:v>Media</x:v>
      </x:c>
      <x:c r="B44" s="21" t="str">
        <x:v>Back-to-school / casual</x:v>
      </x:c>
      <x:c r="C44" s="21" t="str">
        <x:v>Converse</x:v>
      </x:c>
      <x:c r="D44" s="21" t="str">
        <x:v>Kids Chuck Taylor Low</x:v>
      </x:c>
      <x:c r="E44" s="21" t="str">
        <x:v>Black, White, Navy, Red, Cream</x:v>
      </x:c>
      <x:c r="F44" s="21" t="str">
        <x:v>Kids 21-38 / Big kids 35-40</x:v>
      </x:c>
      <x:c r="G44" s="21" t="str">
        <x:v>Basico escolar, facil de combinar y buen precio.</x:v>
      </x:c>
      <x:c r="H44" s="21" t="str">
        <x:v>https://www.nordstrom.com/browse/back-to-school/shoes</x:v>
      </x:c>
      <x:c r="I44" s="21" t="str">
        <x:v>https://www.converse.com/search?q=Converse%20Kids%20Chuck%20Taylor%20Low</x:v>
      </x:c>
    </x:row>
    <x:row r="45" ht="43.5" customHeight="1">
      <x:c r="A45" s="21" t="str">
        <x:v>Prueba</x:v>
      </x:c>
      <x:c r="B45" s="21" t="str">
        <x:v>Back-to-school / casual</x:v>
      </x:c>
      <x:c r="C45" s="21" t="str">
        <x:v>Converse</x:v>
      </x:c>
      <x:c r="D45" s="21" t="str">
        <x:v>Kids Run Star Hike</x:v>
      </x:c>
      <x:c r="E45" s="21" t="str">
        <x:v>Black, White, Platform Cream, Pink</x:v>
      </x:c>
      <x:c r="F45" s="21" t="str">
        <x:v>Kids 21-38 / Big kids 35-40</x:v>
      </x:c>
      <x:c r="G45" s="21" t="str">
        <x:v>Basico escolar, facil de combinar y buen precio.</x:v>
      </x:c>
      <x:c r="H45" s="21" t="str">
        <x:v>https://www.nordstrom.com/browse/back-to-school/shoes</x:v>
      </x:c>
      <x:c r="I45" s="21" t="str">
        <x:v>https://www.converse.com/search?q=Converse%20Kids%20Run%20Star%20Hike</x:v>
      </x:c>
    </x:row>
    <x:row r="46" ht="43.5" customHeight="1">
      <x:c r="A46" s="21" t="str">
        <x:v>Alta</x:v>
      </x:c>
      <x:c r="B46" s="21" t="str">
        <x:v>Back-to-school / casual</x:v>
      </x:c>
      <x:c r="C46" s="21" t="str">
        <x:v>Vans</x:v>
      </x:c>
      <x:c r="D46" s="21" t="str">
        <x:v>Kids Old Skool</x:v>
      </x:c>
      <x:c r="E46" s="21" t="str">
        <x:v>Black/White, Checkerboard, Navy, Pink, Gum</x:v>
      </x:c>
      <x:c r="F46" s="21" t="str">
        <x:v>Kids 21-38 / Big kids 35-40</x:v>
      </x:c>
      <x:c r="G46" s="21" t="str">
        <x:v>Skate shoes y black/white uniform-approved.</x:v>
      </x:c>
      <x:c r="H46" s="21" t="str">
        <x:v>https://www.nordstrom.com/browse/back-to-school/shoes</x:v>
      </x:c>
      <x:c r="I46" s="21" t="str">
        <x:v>https://www.vans.com/en-us/search/product?q=Vans%20Kids%20Old%20Skool</x:v>
      </x:c>
    </x:row>
    <x:row r="47" ht="43.5" customHeight="1">
      <x:c r="A47" s="21" t="str">
        <x:v>Media</x:v>
      </x:c>
      <x:c r="B47" s="21" t="str">
        <x:v>Back-to-school / casual</x:v>
      </x:c>
      <x:c r="C47" s="21" t="str">
        <x:v>Vans</x:v>
      </x:c>
      <x:c r="D47" s="21" t="str">
        <x:v>Kids Slip-On</x:v>
      </x:c>
      <x:c r="E47" s="21" t="str">
        <x:v>Checkerboard, Black, White, Leopard, Red</x:v>
      </x:c>
      <x:c r="F47" s="21" t="str">
        <x:v>Kids 21-38 / Big kids 35-40</x:v>
      </x:c>
      <x:c r="G47" s="21" t="str">
        <x:v>Skate shoes y black/white uniform-approved.</x:v>
      </x:c>
      <x:c r="H47" s="21" t="str">
        <x:v>https://www.nordstrom.com/browse/back-to-school/shoes</x:v>
      </x:c>
      <x:c r="I47" s="21" t="str">
        <x:v>https://www.vans.com/en-us/search/product?q=Vans%20Kids%20Slip-On</x:v>
      </x:c>
    </x:row>
    <x:row r="48" ht="43.5" customHeight="1">
      <x:c r="A48" s="21" t="str">
        <x:v>Media</x:v>
      </x:c>
      <x:c r="B48" s="21" t="str">
        <x:v>Back-to-school / casual</x:v>
      </x:c>
      <x:c r="C48" s="21" t="str">
        <x:v>Vans</x:v>
      </x:c>
      <x:c r="D48" s="21" t="str">
        <x:v>Kids Knu Skool</x:v>
      </x:c>
      <x:c r="E48" s="21" t="str">
        <x:v>Black/White, Navy, Pink, Brown</x:v>
      </x:c>
      <x:c r="F48" s="21" t="str">
        <x:v>Kids 21-38 / Big kids 35-40</x:v>
      </x:c>
      <x:c r="G48" s="21" t="str">
        <x:v>Skate shoes y black/white uniform-approved.</x:v>
      </x:c>
      <x:c r="H48" s="21" t="str">
        <x:v>https://www.nordstrom.com/browse/back-to-school/shoes</x:v>
      </x:c>
      <x:c r="I48" s="21" t="str">
        <x:v>https://www.vans.com/en-us/search/product?q=Vans%20Kids%20Knu%20Skool</x:v>
      </x:c>
    </x:row>
    <x:row r="49" ht="43.5" customHeight="1">
      <x:c r="A49" s="21" t="str">
        <x:v>Prueba</x:v>
      </x:c>
      <x:c r="B49" s="21" t="str">
        <x:v>Back-to-school / casual</x:v>
      </x:c>
      <x:c r="C49" s="21" t="str">
        <x:v>Vans</x:v>
      </x:c>
      <x:c r="D49" s="21" t="str">
        <x:v>Kids Sk8-Hi</x:v>
      </x:c>
      <x:c r="E49" s="21" t="str">
        <x:v>Black/White, Checkerboard, Red, Navy</x:v>
      </x:c>
      <x:c r="F49" s="21" t="str">
        <x:v>Kids 21-38 / Big kids 35-40</x:v>
      </x:c>
      <x:c r="G49" s="21" t="str">
        <x:v>Skate shoes y black/white uniform-approved.</x:v>
      </x:c>
      <x:c r="H49" s="21" t="str">
        <x:v>https://www.nordstrom.com/browse/back-to-school/shoes</x:v>
      </x:c>
      <x:c r="I49" s="21" t="str">
        <x:v>https://www.vans.com/en-us/search/product?q=Vans%20Kids%20Sk8-Hi</x:v>
      </x:c>
    </x:row>
    <x:row r="50" ht="43.5" customHeight="1">
      <x:c r="A50" s="21" t="str">
        <x:v>Media</x:v>
      </x:c>
      <x:c r="B50" s="21" t="str">
        <x:v>Back-to-school / comfort</x:v>
      </x:c>
      <x:c r="C50" s="21" t="str">
        <x:v>On</x:v>
      </x:c>
      <x:c r="D50" s="21" t="str">
        <x:v>Kids The Roger</x:v>
      </x:c>
      <x:c r="E50" s="21" t="str">
        <x:v>White/Gum, White/Navy, Cream, Black, Pink</x:v>
      </x:c>
      <x:c r="F50" s="21" t="str">
        <x:v>Kids 21-38 / Big kids 35-40</x:v>
      </x:c>
      <x:c r="G50" s="21" t="str">
        <x:v>Cliente premium, colegios y regalo.</x:v>
      </x:c>
      <x:c r="H50" s="21" t="str">
        <x:v>https://www.nordstrom.com/browse/back-to-school/shoes</x:v>
      </x:c>
      <x:c r="I50" s="21" t="str">
        <x:v>https://www.on.com/en-us/search?q=On%20Kids%20The%20Roger</x:v>
      </x:c>
    </x:row>
    <x:row r="51" ht="43.5" customHeight="1">
      <x:c r="A51" s="21" t="str">
        <x:v>Prueba</x:v>
      </x:c>
      <x:c r="B51" s="21" t="str">
        <x:v>Back-to-school / comfort</x:v>
      </x:c>
      <x:c r="C51" s="21" t="str">
        <x:v>On</x:v>
      </x:c>
      <x:c r="D51" s="21" t="str">
        <x:v>Kids Cloud Play / Cloud Sky</x:v>
      </x:c>
      <x:c r="E51" s="21" t="str">
        <x:v>Black/White, White, Navy, Pink, Grey</x:v>
      </x:c>
      <x:c r="F51" s="21" t="str">
        <x:v>Kids 21-38 / Big kids 35-40</x:v>
      </x:c>
      <x:c r="G51" s="21" t="str">
        <x:v>Cliente premium, colegios y regalo.</x:v>
      </x:c>
      <x:c r="H51" s="21" t="str">
        <x:v>https://www.nordstrom.com/browse/back-to-school/shoes</x:v>
      </x:c>
      <x:c r="I51" s="21" t="str">
        <x:v>https://www.on.com/en-us/search?q=On%20Kids%20Cloud%20Play%20%2F%20Cloud%20Sky</x:v>
      </x:c>
    </x:row>
    <x:row r="52" ht="43.5" customHeight="1">
      <x:c r="A52" s="21" t="str">
        <x:v>Prueba</x:v>
      </x:c>
      <x:c r="B52" s="21" t="str">
        <x:v>Back-to-school / comfort</x:v>
      </x:c>
      <x:c r="C52" s="21" t="str">
        <x:v>On</x:v>
      </x:c>
      <x:c r="D52" s="21" t="str">
        <x:v>Kids Cloudhero</x:v>
      </x:c>
      <x:c r="E52" s="21" t="str">
        <x:v>Blue, Pink, Black, White, Green</x:v>
      </x:c>
      <x:c r="F52" s="21" t="str">
        <x:v>Kids 21-38 / Big kids 35-40</x:v>
      </x:c>
      <x:c r="G52" s="21" t="str">
        <x:v>Cliente premium, colegios y regalo.</x:v>
      </x:c>
      <x:c r="H52" s="21" t="str">
        <x:v>https://www.nordstrom.com/browse/back-to-school/shoes</x:v>
      </x:c>
      <x:c r="I52" s="21" t="str">
        <x:v>https://www.on.com/en-us/search?q=On%20Kids%20Cloudhero</x:v>
      </x:c>
    </x:row>
    <x:row r="53" ht="43.5" customHeight="1">
      <x:c r="A53" s="21" t="str">
        <x:v>Alta</x:v>
      </x:c>
      <x:c r="B53" s="21" t="str">
        <x:v>Back-to-school / comfort</x:v>
      </x:c>
      <x:c r="C53" s="21" t="str">
        <x:v>Crocs</x:v>
      </x:c>
      <x:c r="D53" s="21" t="str">
        <x:v>Classic Clog Kids</x:v>
      </x:c>
      <x:c r="E53" s="21" t="str">
        <x:v>Black, White, Navy, Pink, Lime, Tie Dye</x:v>
      </x:c>
      <x:c r="F53" s="21" t="str">
        <x:v>Kids 21-38 / adulto 35-44 tambien</x:v>
      </x:c>
      <x:c r="G53" s="21" t="str">
        <x:v>No es tenis, pero rota duro en nino y regalo con charms.</x:v>
      </x:c>
      <x:c r="H53" s="21" t="str">
        <x:v>https://www.nordstrom.com/browse/back-to-school/shoes</x:v>
      </x:c>
      <x:c r="I53" s="21" t="str">
        <x:v>https://www.crocs.com/search?q=Crocs%20Classic%20Clog%20Kids</x:v>
      </x:c>
    </x:row>
    <x:row r="54" ht="43.5" customHeight="1">
      <x:c r="A54" s="21" t="str">
        <x:v>Media</x:v>
      </x:c>
      <x:c r="B54" s="21" t="str">
        <x:v>Back-to-school / comfort</x:v>
      </x:c>
      <x:c r="C54" s="21" t="str">
        <x:v>Crocs</x:v>
      </x:c>
      <x:c r="D54" s="21" t="str">
        <x:v>Classic Platform / Crush Clog</x:v>
      </x:c>
      <x:c r="E54" s="21" t="str">
        <x:v>White, Bone, Pink, Black, Lavender</x:v>
      </x:c>
      <x:c r="F54" s="21" t="str">
        <x:v>Kids 21-38 / adulto 35-44 tambien</x:v>
      </x:c>
      <x:c r="G54" s="21" t="str">
        <x:v>No es tenis, pero rota duro en nino y regalo con charms.</x:v>
      </x:c>
      <x:c r="H54" s="21" t="str">
        <x:v>https://www.nordstrom.com/browse/back-to-school/shoes</x:v>
      </x:c>
      <x:c r="I54" s="21" t="str">
        <x:v>https://www.crocs.com/search?q=Crocs%20Classic%20Platform%20%2F%20Crush%20Clog</x:v>
      </x:c>
    </x:row>
    <x:row r="55" ht="43.5" customHeight="1">
      <x:c r="A55" s="21" t="str">
        <x:v>Media</x:v>
      </x:c>
      <x:c r="B55" s="21" t="str">
        <x:v>Back-to-school / comfort</x:v>
      </x:c>
      <x:c r="C55" s="21" t="str">
        <x:v>Crocs</x:v>
      </x:c>
      <x:c r="D55" s="21" t="str">
        <x:v>Echo Clog</x:v>
      </x:c>
      <x:c r="E55" s="21" t="str">
        <x:v>Black, Bone, Slate, Green, Orange</x:v>
      </x:c>
      <x:c r="F55" s="21" t="str">
        <x:v>Kids 21-38 / adulto 35-44 tambien</x:v>
      </x:c>
      <x:c r="G55" s="21" t="str">
        <x:v>No es tenis, pero rota duro en nino y regalo con charms.</x:v>
      </x:c>
      <x:c r="H55" s="21" t="str">
        <x:v>https://www.nordstrom.com/browse/back-to-school/shoes</x:v>
      </x:c>
      <x:c r="I55" s="21" t="str">
        <x:v>https://www.crocs.com/search?q=Crocs%20Echo%20Clog</x:v>
      </x:c>
    </x:row>
    <x:row r="56" ht="43.5" customHeight="1">
      <x:c r="A56" s="21" t="str">
        <x:v>Prueba</x:v>
      </x:c>
      <x:c r="B56" s="21" t="str">
        <x:v>Back-to-school / comfort</x:v>
      </x:c>
      <x:c r="C56" s="21" t="str">
        <x:v>UGG</x:v>
      </x:c>
      <x:c r="D56" s="21" t="str">
        <x:v>Kids Classic Slip-On</x:v>
      </x:c>
      <x:c r="E56" s="21" t="str">
        <x:v>Chestnut, Black, Sand, Pink, Grey</x:v>
      </x:c>
      <x:c r="F56" s="21" t="str">
        <x:v>Kids 21-38 / dama 35-40</x:v>
      </x:c>
      <x:c r="G56" s="21" t="str">
        <x:v>Solo para temporada/regalo, no cargar demasiado.</x:v>
      </x:c>
      <x:c r="H56" s="21" t="str">
        <x:v>https://www.nordstrom.com/browse/back-to-school/shoes</x:v>
      </x:c>
      <x:c r="I56" s="21" t="str">
        <x:v>https://www.ugg.com/search?q=UGG%20Kids%20Classic%20Slip-On</x:v>
      </x:c>
    </x:row>
    <x:row r="57" ht="43.5" customHeight="1">
      <x:c r="A57" s="22" t="str">
        <x:v>Prueba</x:v>
      </x:c>
      <x:c r="B57" s="22" t="str">
        <x:v>Back-to-school / comfort</x:v>
      </x:c>
      <x:c r="C57" s="22" t="str">
        <x:v>UGG</x:v>
      </x:c>
      <x:c r="D57" s="22" t="str">
        <x:v>Tasman / Tazz kids</x:v>
      </x:c>
      <x:c r="E57" s="22" t="str">
        <x:v>Chestnut, Black, Sand, Pink</x:v>
      </x:c>
      <x:c r="F57" s="22" t="str">
        <x:v>Kids 21-38 / dama 35-40</x:v>
      </x:c>
      <x:c r="G57" s="22" t="str">
        <x:v>Solo para temporada/regalo, no cargar demasiado.</x:v>
      </x:c>
      <x:c r="H57" s="22" t="str">
        <x:v>https://www.nordstrom.com/browse/back-to-school/shoes</x:v>
      </x:c>
      <x:c r="I57" s="22" t="str">
        <x:v>https://www.ugg.com/search?q=UGG%20Tasman%20%2F%20Tazz%20kids</x:v>
      </x:c>
    </x:row>
  </x:sheetData>
  <x:mergeCells>
    <x:mergeCell ref="A1:I1"/>
    <x:mergeCell ref="A2:I2"/>
  </x:mergeCells>
  <x:conditionalFormatting sqref="A6:A57">
    <x:cfRule type="containsText" dxfId="9" priority="1" operator="containsText" text="Alta"/>
    <x:cfRule type="containsText" dxfId="10" priority="2" operator="containsText" text="Media"/>
    <x:cfRule type="containsText" dxfId="11" priority="3" operator="containsText" text="Prueba"/>
  </x:conditionalFormatting>
  <x:pageMargins left="0.7" right="0.7" top="0.75" bottom="0.75" header="0.3" footer="0.3"/>
  <x:tableParts count="1">
    <x:tablePart xmlns:r="http://schemas.openxmlformats.org/officeDocument/2006/relationships" r:id="R162f238878874e0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46.25" hidden="0" customWidth="1"/>
    <x:col min="3" max="3" width="32.5" hidden="0" customWidth="1"/>
    <x:col min="4" max="4" width="47.5" hidden="0" customWidth="1"/>
  </x:cols>
  <x:sheetData>
    <x:row r="1">
      <x:c r="A1" s="16" t="str">
        <x:v>Guia de colores</x:v>
      </x:c>
      <x:c r="B1" s="17"/>
      <x:c r="C1" s="17"/>
      <x:c r="D1" s="17"/>
    </x:row>
    <x:row r="2">
      <x:c r="A2" s="18" t="str">
        <x:v>Paleta practica para seleccionar colorways antes de pedir.</x:v>
      </x:c>
      <x:c r="B2" s="17"/>
      <x:c r="C2" s="17"/>
      <x:c r="D2" s="17"/>
    </x:row>
    <x:row r="3">
      <x:c r="A3" s="17"/>
      <x:c r="B3" s="17"/>
      <x:c r="C3" s="17"/>
      <x:c r="D3" s="17"/>
    </x:row>
    <x:row r="4">
      <x:c r="A4" s="17"/>
      <x:c r="B4" s="17"/>
      <x:c r="C4" s="17"/>
      <x:c r="D4" s="17"/>
    </x:row>
    <x:row r="5">
      <x:c r="A5" s="19" t="str">
        <x:v>Bloque</x:v>
      </x:c>
      <x:c r="B5" s="19" t="str">
        <x:v>Colores</x:v>
      </x:c>
      <x:c r="C5" s="19" t="str">
        <x:v>Usar en</x:v>
      </x:c>
      <x:c r="D5" s="19" t="str">
        <x:v>Nota</x:v>
      </x:c>
    </x:row>
    <x:row r="6" ht="41.25" customHeight="1">
      <x:c r="A6" s="20" t="str">
        <x:v>Base segura</x:v>
      </x:c>
      <x:c r="B6" s="20" t="str">
        <x:v>White/Black, Triple White, Black/White, Grey, Navy</x:v>
      </x:c>
      <x:c r="C6" s="20" t="str">
        <x:v>Todos</x:v>
      </x:c>
      <x:c r="D6" s="20" t="str">
        <x:v>Ideal para contenedor: baja devolucion visual y combina facil.</x:v>
      </x:c>
    </x:row>
    <x:row r="7" ht="41.25" customHeight="1">
      <x:c r="A7" s="21" t="str">
        <x:v>Metalizados</x:v>
      </x:c>
      <x:c r="B7" s="21" t="str">
        <x:v>Silver Metallic, Grey/Silver, Chrome, Platinum</x:v>
      </x:c>
      <x:c r="C7" s="21" t="str">
        <x:v>Dama, runner, New Balance, ASICS, Nike P-6000/Vomero</x:v>
      </x:c>
      <x:c r="D7" s="21" t="str">
        <x:v>Tendencia fuerte 2026.</x:v>
      </x:c>
    </x:row>
    <x:row r="8" ht="41.25" customHeight="1">
      <x:c r="A8" s="21" t="str">
        <x:v>Terrace/gum</x:v>
      </x:c>
      <x:c r="B8" s="21" t="str">
        <x:v>Navy/Gum, Brown/Gum, Green/Gum, Burgundy/Gum</x:v>
      </x:c>
      <x:c r="C8" s="21" t="str">
        <x:v>Adidas, Vans, Puma Palermo</x:v>
      </x:c>
      <x:c r="D8" s="21" t="str">
        <x:v>Muy vendible en adulto joven.</x:v>
      </x:c>
    </x:row>
    <x:row r="9" ht="41.25" customHeight="1">
      <x:c r="A9" s="21" t="str">
        <x:v>Pasteles dama</x:v>
      </x:c>
      <x:c r="B9" s="21" t="str">
        <x:v>Butter Yellow, Pink, Lavender, Light Blue, Cream</x:v>
      </x:c>
      <x:c r="C9" s="21" t="str">
        <x:v>Dama y nino</x:v>
      </x:c>
      <x:c r="D9" s="21" t="str">
        <x:v>Especial para diciembre/regalo.</x:v>
      </x:c>
    </x:row>
    <x:row r="10" ht="41.25" customHeight="1">
      <x:c r="A10" s="21" t="str">
        <x:v>Basket clasico</x:v>
      </x:c>
      <x:c r="B10" s="21" t="str">
        <x:v>Black/Red, Royal Blue, Lakers, White/Navy, Orange</x:v>
      </x:c>
      <x:c r="C10" s="21" t="str">
        <x:v>Hombre basket y joven</x:v>
      </x:c>
      <x:c r="D10" s="21" t="str">
        <x:v>Sirve para modelos firmados y Jordan/Kobe.</x:v>
      </x:c>
    </x:row>
    <x:row r="11" ht="41.25" customHeight="1">
      <x:c r="A11" s="21" t="str">
        <x:v>Outdoor</x:v>
      </x:c>
      <x:c r="B11" s="21" t="str">
        <x:v>Olive, Sand, Lunar Rock, Brown, Black, Grey</x:v>
      </x:c>
      <x:c r="C11" s="21" t="str">
        <x:v>Salomon, HOKA, On</x:v>
      </x:c>
      <x:c r="D11" s="21" t="str">
        <x:v>Gorpcore y outfits urbanos.</x:v>
      </x:c>
    </x:row>
    <x:row r="12" ht="41.25" customHeight="1">
      <x:c r="A12" s="22" t="str">
        <x:v>Animal/statement</x:v>
      </x:c>
      <x:c r="B12" s="22" t="str">
        <x:v>Leopard, pony hair, checkerboard, red Speedcat</x:v>
      </x:c>
      <x:c r="C12" s="22" t="str">
        <x:v>Dama, Vans, Adidas Samba, Puma</x:v>
      </x:c>
      <x:c r="D12" s="22" t="str">
        <x:v>Solo como acento: no llenar el pedido con esto.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730738861614c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47.5" hidden="0" customWidth="1"/>
  </x:cols>
  <x:sheetData>
    <x:row r="1">
      <x:c r="A1" s="2" t="str">
        <x:v>Resumen de surtido</x:v>
      </x:c>
    </x:row>
    <x:row r="2">
      <x:c r="A2" s="4" t="str">
        <x:v>Conteo de referencias por cliente y prioridad.</x:v>
      </x:c>
    </x:row>
    <x:row r="5">
      <x:c r="A5" s="6" t="str">
        <x:v>Cliente</x:v>
      </x:c>
      <x:c r="B5" s="6" t="str">
        <x:v>Alta</x:v>
      </x:c>
      <x:c r="C5" s="6" t="str">
        <x:v>Media</x:v>
      </x:c>
      <x:c r="D5" s="6" t="str">
        <x:v>Prueba</x:v>
      </x:c>
      <x:c r="E5" s="6" t="str">
        <x:v>Total</x:v>
      </x:c>
      <x:c r="F5" s="6" t="str">
        <x:v>Lectura</x:v>
      </x:c>
    </x:row>
    <x:row r="6">
      <x:c r="A6" s="24" t="str">
        <x:v>Hombre</x:v>
      </x:c>
      <x:c r="B6" s="24" t="n">
        <x:f>COUNTIFS('Machete internet'!$B$6:$B$260,A6,'Machete internet'!$A$6:$A$260,"Alta")</x:f>
        <x:v>46</x:v>
      </x:c>
      <x:c r="C6" s="24" t="n">
        <x:f>COUNTIFS('Machete internet'!$B$6:$B$260,A6,'Machete internet'!$A$6:$A$260,"Media")</x:f>
        <x:v>51</x:v>
      </x:c>
      <x:c r="D6" s="24" t="n">
        <x:f>COUNTIFS('Machete internet'!$B$6:$B$260,A6,'Machete internet'!$A$6:$A$260,"Prueba")</x:f>
        <x:v>18</x:v>
      </x:c>
      <x:c r="E6" s="24" t="n">
        <x:f>SUM(B6:D6)</x:f>
        <x:v>115</x:v>
      </x:c>
      <x:c r="F6" s="24" t="str">
        <x:v>Base fuerte en retro, runner tecnico y basket.</x:v>
      </x:c>
    </x:row>
    <x:row r="7">
      <x:c r="A7" s="24" t="str">
        <x:v>Dama</x:v>
      </x:c>
      <x:c r="B7" s="24" t="n">
        <x:f>COUNTIFS('Machete internet'!$B$6:$B$260,A7,'Machete internet'!$A$6:$A$260,"Alta")</x:f>
        <x:v>26</x:v>
      </x:c>
      <x:c r="C7" s="24" t="n">
        <x:f>COUNTIFS('Machete internet'!$B$6:$B$260,A7,'Machete internet'!$A$6:$A$260,"Media")</x:f>
        <x:v>18</x:v>
      </x:c>
      <x:c r="D7" s="24" t="n">
        <x:f>COUNTIFS('Machete internet'!$B$6:$B$260,A7,'Machete internet'!$A$6:$A$260,"Prueba")</x:f>
        <x:v>4</x:v>
      </x:c>
      <x:c r="E7" s="24" t="n">
        <x:f>SUM(B7:D7)</x:f>
        <x:v>48</x:v>
      </x:c>
      <x:c r="F7" s="24" t="str">
        <x:v>Base fuerte en terrace, metalizados, sneakerina y blancos.</x:v>
      </x:c>
    </x:row>
    <x:row r="8">
      <x:c r="A8" s="24" t="str">
        <x:v>Nino</x:v>
      </x:c>
      <x:c r="B8" s="24" t="n">
        <x:f>COUNTIFS('Machete internet'!$B$6:$B$260,A8,'Machete internet'!$A$6:$A$260,"Alta")</x:f>
        <x:v>23</x:v>
      </x:c>
      <x:c r="C8" s="24" t="n">
        <x:f>COUNTIFS('Machete internet'!$B$6:$B$260,A8,'Machete internet'!$A$6:$A$260,"Media")</x:f>
        <x:v>20</x:v>
      </x:c>
      <x:c r="D8" s="24" t="n">
        <x:f>COUNTIFS('Machete internet'!$B$6:$B$260,A8,'Machete internet'!$A$6:$A$260,"Prueba")</x:f>
        <x:v>9</x:v>
      </x:c>
      <x:c r="E8" s="24" t="n">
        <x:f>SUM(B8:D8)</x:f>
        <x:v>52</x:v>
      </x:c>
      <x:c r="F8" s="24" t="str">
        <x:v>Base fuerte en back-to-school, full family y easy-on.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>
      <x:c r="A1" s="16" t="str">
        <x:v>Fuentes usadas</x:v>
      </x:c>
      <x:c r="B1" s="17"/>
    </x:row>
    <x:row r="2">
      <x:c r="A2" s="18" t="str">
        <x:v>Links base de tendencias y validacion de mercado.</x:v>
      </x:c>
      <x:c r="B2" s="17"/>
    </x:row>
    <x:row r="3">
      <x:c r="A3" s="17"/>
      <x:c r="B3" s="17"/>
    </x:row>
    <x:row r="4">
      <x:c r="A4" s="17"/>
      <x:c r="B4" s="17"/>
    </x:row>
    <x:row r="5">
      <x:c r="A5" s="19" t="str">
        <x:v>Fuente</x:v>
      </x:c>
      <x:c r="B5" s="19" t="str">
        <x:v>URL</x:v>
      </x:c>
    </x:row>
    <x:row r="6">
      <x:c r="A6" s="20" t="str">
        <x:v>stockx</x:v>
      </x:c>
      <x:c r="B6" s="20" t="str">
        <x:v>https://stockx.com/about/sx-market-insights/big-facts-current-culture-index-2026/</x:v>
      </x:c>
    </x:row>
    <x:row r="7">
      <x:c r="A7" s="21" t="str">
        <x:v>stockxBreakout</x:v>
      </x:c>
      <x:c r="B7" s="21" t="str">
        <x:v>https://stockx.com/about/stockx-reveals-breakout-products-and-global-soccer-spending-trends-in-latest-big-facts-report/</x:v>
      </x:c>
    </x:row>
    <x:row r="8">
      <x:c r="A8" s="21" t="str">
        <x:v>vogueSpring</x:v>
      </x:c>
      <x:c r="B8" s="21" t="str">
        <x:v>https://www.vogue.com/article/6-sneaker-trends-to-look-out-for-in-2025</x:v>
      </x:c>
    </x:row>
    <x:row r="9">
      <x:c r="A9" s="21" t="str">
        <x:v>vogueAutumn</x:v>
      </x:c>
      <x:c r="B9" s="21" t="str">
        <x:v>https://www.vogue.co.uk/article/autumn-2026-trending-trainers</x:v>
      </x:c>
    </x:row>
    <x:row r="10">
      <x:c r="A10" s="21" t="str">
        <x:v>whoWhatWear</x:v>
      </x:c>
      <x:c r="B10" s="21" t="str">
        <x:v>https://www.whowhatwear.com/fashion/summer/summer-sneaker-trends-2026</x:v>
      </x:c>
    </x:row>
    <x:row r="11">
      <x:c r="A11" s="21" t="str">
        <x:v>sportsBackSchool</x:v>
      </x:c>
      <x:c r="B11" s="21" t="str">
        <x:v>https://www.si.com/fannation/sneakers/news/10-best-back-to-school-shoes-of-2026</x:v>
      </x:c>
    </x:row>
    <x:row r="12">
      <x:c r="A12" s="21" t="str">
        <x:v>rackRoomKids</x:v>
      </x:c>
      <x:c r="B12" s="21" t="str">
        <x:v>https://www.rackroomshoes.com/footnotes/trends/kids/back-to-school-shoe-trends-moms-need-to-know</x:v>
      </x:c>
    </x:row>
    <x:row r="13">
      <x:c r="A13" s="21" t="str">
        <x:v>nordstromKids</x:v>
      </x:c>
      <x:c r="B13" s="21" t="str">
        <x:v>https://www.nordstrom.com/browse/back-to-school/shoes</x:v>
      </x:c>
    </x:row>
    <x:row r="14">
      <x:c r="A14" s="21" t="str">
        <x:v>adidasDrops</x:v>
      </x:c>
      <x:c r="B14" s="21" t="str">
        <x:v>https://www.adidas.com/us/release-dates</x:v>
      </x:c>
    </x:row>
    <x:row r="15">
      <x:c r="A15" s="22" t="str">
        <x:v>nbKids</x:v>
      </x:c>
      <x:c r="B15" s="22" t="str">
        <x:v>https://www.newbalance.com/kids/shoes/big-kids/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b0447cc15ab4478f"/>
  </x:tableParts>
</x:worksheet>
</file>